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hidePivotFieldList="1" defaultThemeVersion="166925"/>
  <mc:AlternateContent xmlns:mc="http://schemas.openxmlformats.org/markup-compatibility/2006">
    <mc:Choice Requires="x15">
      <x15ac:absPath xmlns:x15ac="http://schemas.microsoft.com/office/spreadsheetml/2010/11/ac" url="/Users/felixzyf/Desktop/NIO/"/>
    </mc:Choice>
  </mc:AlternateContent>
  <xr:revisionPtr revIDLastSave="0" documentId="13_ncr:1_{E38720B1-85D2-FA43-834F-3491ECF6A881}" xr6:coauthVersionLast="47" xr6:coauthVersionMax="47" xr10:uidLastSave="{00000000-0000-0000-0000-000000000000}"/>
  <bookViews>
    <workbookView xWindow="0" yWindow="740" windowWidth="30240" windowHeight="18900" xr2:uid="{00000000-000D-0000-FFFF-FFFF00000000}"/>
  </bookViews>
  <sheets>
    <sheet name="看板" sheetId="2" r:id="rId1"/>
    <sheet name="数据源" sheetId="1" r:id="rId2"/>
  </sheets>
  <definedNames>
    <definedName name="Slicer_处理人城市公司">#N/A</definedName>
    <definedName name="切片器_业务类型">#N/A</definedName>
    <definedName name="切片器_场景">#N/A</definedName>
    <definedName name="切片器_部门">#N/A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<sst xmlns="http://schemas.openxmlformats.org/spreadsheetml/2006/main" count="456" uniqueCount="260">
  <si>
    <t>协同子单单号</t>
  </si>
  <si>
    <t>单号_主单</t>
  </si>
  <si>
    <t>工单状态</t>
  </si>
  <si>
    <t>业务类型</t>
  </si>
  <si>
    <t>标签名称</t>
  </si>
  <si>
    <t>协同待办</t>
  </si>
  <si>
    <t>问题描述_主单</t>
  </si>
  <si>
    <t>创建人</t>
  </si>
  <si>
    <t>处理人</t>
  </si>
  <si>
    <t>处理组</t>
  </si>
  <si>
    <t>处理人二级组织</t>
  </si>
  <si>
    <t>处理人三级组织</t>
  </si>
  <si>
    <t>处理人城市公司</t>
  </si>
  <si>
    <t>创建时间</t>
  </si>
  <si>
    <t>完成时间</t>
  </si>
  <si>
    <t>操作日志</t>
  </si>
  <si>
    <t>工单处理时长(h)</t>
  </si>
  <si>
    <t>品牌_主单</t>
  </si>
  <si>
    <t>来源渠道_主单</t>
  </si>
  <si>
    <t>用户姓名_主单</t>
  </si>
  <si>
    <t>account_id_主单</t>
  </si>
  <si>
    <t>用户城市公司_主单</t>
  </si>
  <si>
    <t>车架号_主单</t>
  </si>
  <si>
    <t>用户身份_主单</t>
  </si>
  <si>
    <t>是否催单_主单</t>
  </si>
  <si>
    <t>赔付信息_主单</t>
  </si>
  <si>
    <t>XT-20250701SX73QTI32</t>
  </si>
  <si>
    <t>TK-20250701B48IKS-SM</t>
  </si>
  <si>
    <t>已完成</t>
  </si>
  <si>
    <t>吐槽</t>
  </si>
  <si>
    <t>吐槽-购车服务-新车售前-销售政策</t>
  </si>
  <si>
    <t>keke.zhao1</t>
  </si>
  <si>
    <t>pascal.chen</t>
  </si>
  <si>
    <t>(null)</t>
  </si>
  <si>
    <t>区域运营，佛山公司</t>
  </si>
  <si>
    <t>销售，佛山公司</t>
  </si>
  <si>
    <t>佛山公司</t>
  </si>
  <si>
    <t>44.67361111</t>
  </si>
  <si>
    <t>nio</t>
  </si>
  <si>
    <t>专属服务群</t>
  </si>
  <si>
    <t>冯浩然</t>
  </si>
  <si>
    <t>65669899</t>
  </si>
  <si>
    <t>HJNNBDLH2SB652938</t>
  </si>
  <si>
    <t>正式车主</t>
  </si>
  <si>
    <t>否</t>
  </si>
  <si>
    <t>XT-202507120U1NQ1K7G</t>
  </si>
  <si>
    <t>TK-20250711YXYF_Q22-</t>
  </si>
  <si>
    <t>处理中</t>
  </si>
  <si>
    <t>咨询</t>
  </si>
  <si>
    <t>jiemin.li</t>
  </si>
  <si>
    <t>xiaodong.wang5</t>
  </si>
  <si>
    <t>佛山SO-NSC-顺德红岗</t>
  </si>
  <si>
    <t>服务运营，佛山公司</t>
  </si>
  <si>
    <t>37.35472222</t>
  </si>
  <si>
    <t>刘鹏</t>
  </si>
  <si>
    <t>427507355</t>
  </si>
  <si>
    <t>LJ1E6A2U2PG068114</t>
  </si>
  <si>
    <t>XT-20250708L37QY9KNG</t>
  </si>
  <si>
    <t>TK-20250708Q724569OY</t>
  </si>
  <si>
    <t>吐槽-车辆-冷却系统</t>
  </si>
  <si>
    <t>用户反映其车辆在经历电机异响问题后，再次出现冷却系统异常，且异常提示持续弹窗，总计185次，认为这是严重的质量问题，要求补偿损失。</t>
  </si>
  <si>
    <t>wenxiao.pang</t>
  </si>
  <si>
    <t>yuxian.zhu</t>
  </si>
  <si>
    <t>140.43805556</t>
  </si>
  <si>
    <t>梁振峰</t>
  </si>
  <si>
    <t>346325654</t>
  </si>
  <si>
    <t>广州公司</t>
  </si>
  <si>
    <t>HJNNADMG0RA082298</t>
  </si>
  <si>
    <t>XT-20250703631HZD_42</t>
  </si>
  <si>
    <t>TK-202507032TUEZ588_</t>
  </si>
  <si>
    <t>投诉</t>
  </si>
  <si>
    <t>投诉-售后服务-维保服务-维保方案</t>
  </si>
  <si>
    <t>xue.yuan</t>
  </si>
  <si>
    <t>215.56861111</t>
  </si>
  <si>
    <t>400热线</t>
  </si>
  <si>
    <t>叶燕敏</t>
  </si>
  <si>
    <t>217240428</t>
  </si>
  <si>
    <t>HJNNADMG7SA019365</t>
  </si>
  <si>
    <t>XT-20250707YFRNF_MT-</t>
  </si>
  <si>
    <t>TK-20250706UMEO1NH1W</t>
  </si>
  <si>
    <t>投诉-专车打车代步车-代步车-代步车车况</t>
  </si>
  <si>
    <t>zule.chen</t>
  </si>
  <si>
    <t>58.44027778</t>
  </si>
  <si>
    <t>蔡曼妮</t>
  </si>
  <si>
    <t>413234325</t>
  </si>
  <si>
    <t>LJ1E6A3U4L7701558</t>
  </si>
  <si>
    <t>共同车主</t>
  </si>
  <si>
    <t>XT-20250708KVTZ0MFG5</t>
  </si>
  <si>
    <t>TK-20250708X4RN4WWKK</t>
  </si>
  <si>
    <t>咨询-购车服务-新车售前-销售政策</t>
  </si>
  <si>
    <t>如用户表示自己是24款车型，了解到25款有补偿，自己也需要</t>
  </si>
  <si>
    <t>chunyang.chen</t>
  </si>
  <si>
    <t>sheng.ju</t>
  </si>
  <si>
    <t>综合工单组</t>
  </si>
  <si>
    <t>服务调度运营部</t>
  </si>
  <si>
    <t>线上服务调度团队</t>
  </si>
  <si>
    <t>24.77305556</t>
  </si>
  <si>
    <t>邓超群</t>
  </si>
  <si>
    <t>343874426</t>
  </si>
  <si>
    <t>HJNNADMGXRA035263</t>
  </si>
  <si>
    <t>XT-20250705GAFZTV5A7</t>
  </si>
  <si>
    <t>TK-20250705H1-INCV4A</t>
  </si>
  <si>
    <t>待处理</t>
  </si>
  <si>
    <t>投诉-事故-报案</t>
  </si>
  <si>
    <t>hao.li19</t>
  </si>
  <si>
    <t>215.74833333</t>
  </si>
  <si>
    <t>邓海斌</t>
  </si>
  <si>
    <t>231020407</t>
  </si>
  <si>
    <t>LJ1EFAUU5RG506138</t>
  </si>
  <si>
    <t>XT-202507057X0LCBVSS</t>
  </si>
  <si>
    <t>TK-202507050YE9LGZO5</t>
  </si>
  <si>
    <t>吐槽-售后服务-维保服务-维保质量</t>
  </si>
  <si>
    <t>用户反馈车辆自动切换账户的问题，该问题在之前的检查中未能得到解决。</t>
  </si>
  <si>
    <t>佛山SO-ASC-星悦</t>
  </si>
  <si>
    <t>74.23777778</t>
  </si>
  <si>
    <t>关信威</t>
  </si>
  <si>
    <t>1120878767</t>
  </si>
  <si>
    <t>LJ1E6A3U6L7710181</t>
  </si>
  <si>
    <t>XT-2025070219KO1J0U_</t>
  </si>
  <si>
    <t>TK-20250702QV3LZXUI_</t>
  </si>
  <si>
    <t>投诉-售后服务-维保服务-维保质量</t>
  </si>
  <si>
    <t>问题描述:用户到达店内等待服务，询问车辆检查流程，并对车辆在轻微碰撞后需要更换前组摄像头的质量表示质疑，表达了不满并提出投诉意向。
沟通结论:服务人员已通知售后团队跟进用户到店接待和车辆检查情况，同时承诺反馈用户关于车辆质量的投诉，确保服务中心查看并处理用户的问题。</t>
  </si>
  <si>
    <t>junjie.huang</t>
  </si>
  <si>
    <t>羊城小管家</t>
  </si>
  <si>
    <t>运营支持团队</t>
  </si>
  <si>
    <t>48.39333333</t>
  </si>
  <si>
    <t>吴丽娟</t>
  </si>
  <si>
    <t>424040863</t>
  </si>
  <si>
    <t>LJ1E6A3U9PG555972</t>
  </si>
  <si>
    <t>XT-20250712CB9Y8U76I</t>
  </si>
  <si>
    <t>TK-202507127MWV6EM44</t>
  </si>
  <si>
    <t>投诉-车辆-未知异响</t>
  </si>
  <si>
    <t>bin.wang13</t>
  </si>
  <si>
    <t>zhaocan.zhu</t>
  </si>
  <si>
    <t>广州SO-ASC白云京溪</t>
  </si>
  <si>
    <t>服务运营，广州公司</t>
  </si>
  <si>
    <t>26.31972222</t>
  </si>
  <si>
    <t>卢敏华</t>
  </si>
  <si>
    <t>180563104</t>
  </si>
  <si>
    <t>LJ1E6A2U3RG005638</t>
  </si>
  <si>
    <t>XT-20250711-HDAJFTOI</t>
  </si>
  <si>
    <t>TK-20250711XM26J0-MA</t>
  </si>
  <si>
    <t>咨询-人员-其他</t>
  </si>
  <si>
    <t>问题描述:用户请求更换顾问至台州地区。
沟通结论:服务人员已接收用户需求，将反馈给相关同事处理，并告知用户若长时间未收到回复，可再次在专属群联系以获取帮助。</t>
  </si>
  <si>
    <t>james.guan</t>
  </si>
  <si>
    <t>4.30027778</t>
  </si>
  <si>
    <t>黄煜剑</t>
  </si>
  <si>
    <t>407285965</t>
  </si>
  <si>
    <t>台州公司</t>
  </si>
  <si>
    <t>LJ1E6A2U4PG024437</t>
  </si>
  <si>
    <t>XT-20250702EFF5SKJ-K</t>
  </si>
  <si>
    <t>TK-20250702EK3DKBY_F</t>
  </si>
  <si>
    <t>投诉-车辆-车辆解锁/上锁</t>
  </si>
  <si>
    <t>用户进线反馈车辆在路边没有办法解锁，在专属群内反馈让回电，结果一直都是不理会，也没有人联系，表示五分钟内没有回复，将进行再次进线投诉</t>
  </si>
  <si>
    <t>50.81388889</t>
  </si>
  <si>
    <t>欧阳健湛</t>
  </si>
  <si>
    <t>68085478</t>
  </si>
  <si>
    <t>HJNNADMGXRA115324</t>
  </si>
  <si>
    <t>用户有跟我吐槽过问还有什么积分或者东西送我说自己私人诚意给了点积分但不多也告知政策24款提车没有补偿自己当时买24款的时候价格更贵同一年款在4月当下就是最便宜最优惠的</t>
  </si>
  <si>
    <t>用户吐槽销售政策补偿问题群内已经婉拒了</t>
  </si>
  <si>
    <t>2025-07-0113:54:16</t>
  </si>
  <si>
    <t>2025-07-0310:34:41</t>
  </si>
  <si>
    <t>[{"nodeEvent":"创建协同子单","nodeEventKey":"CREATE","operate_by":"keke.zhao1","operate_name":"赵可可","operate_time":"2025-07-0113:54:16"},{"nodeEvent":"完成协同子单","nodeEventKey":"COMPLETE","operate_by":"pascal.chen","operate_name":"陈柏潘","operate_time":"2025-07-0217:36:21"},{"nodeEvent":"子单重启","nodeEventKey":"REOPEN","operate_by":"hui.wu2","operate_name":"吴慧","operate_time":"2025-07-0218:26:59"},{"nodeEvent":"将协同人修改为潘佳男(jalan.pan),陈柏潘(pascal.chen)","nodeEventKey":"TRANSFER_COOPERATED_OPERATOR","operate_by":"ava.li","operate_name":"李诗华","operate_time":"2025-07-0310:26:51"},{"nodeEvent":"将协同待办修改为用户有跟我吐槽过问还有什么积分或者东西送我说自己私人诚意给了点积分但不多也告知政策24款提车没有补偿自己当时买24款的时候价格更贵同一年款在4月当下就是最便宜最优惠的","nodeEventKey":"DESCRIPTION","operate_by":"pascal.chen","operate_name":"陈柏潘","operate_time":"2025-07-0310:34:16"},{"nodeEvent":"完成协同子单","nodeEventKey":"COMPLETE","operate_by":"pascal.chen","operate_name":"陈柏潘","operate_time":"2025-07-0310:34:41"}]</t>
  </si>
  <si>
    <t>Case详情：用户进行咨询车辆维修情况，什么时候可以送车，并且询问维修管家，一直不回复
用户姓名：刘鹏
手机号码：13450543408
品牌：蔚来
车牌号：无
车型：2023款EC6·Lavender紫
VIN码：LJ1E6A2U2PG068114
用户诉求：要求投诉和今晚送车给他</t>
  </si>
  <si>
    <t>2025-07-1218:38:43</t>
  </si>
  <si>
    <t>[{"nodeEvent":"创建协同子单","nodeEventKey":"CREATE","operate_by":"jiemin.li","operate_name":"李杰民","operate_time":"2025-07-1218:38:43"},{"nodeEvent":"将需求标签修改为咨询/售后服务/维保服务/维保进度","nodeEventKey":"TAG","operate_by":"xiaodong.wang5","operate_name":"王晓东","operate_time":"2025-07-1219:08:11"},{"nodeEvent":"完成协同子单","nodeEventKey":"COMPLETE","operate_by":"xiaodong.wang5","operate_name":"王晓东","operate_time":"2025-07-1219:08:17"},{"nodeEvent":"子单重启","nodeEventKey":"REOPEN","operate_by":"changzan.guo","operate_name":"郭常赞","operate_time":"2025-07-1219:24:44"}]</t>
  </si>
  <si>
    <t>2025-07-0811:33:43</t>
  </si>
  <si>
    <t>[{"nodeEvent":"创建协同子单","nodeEventKey":"CREATE","operate_by":"wenxiao.pang","operate_name":"庞文晓","operate_time":"2025-07-0811:33:43"},{"nodeEvent":"认领协同子单","nodeEventKey":"CLAIM","operate_by":"yuxian.zhu","operate_name":"朱雨娴","operate_time":"2025-07-0814:44:57"},{"nodeEvent":"完成协同子单","nodeEventKey":"COMPLETE","operate_by":"yuxian.zhu","operate_name":"朱雨娴","operate_time":"2025-07-0913:27:57"},{"nodeEvent":"子单重启","nodeEventKey":"REOPEN","operate_by":"wenxiao.pang","operate_name":"庞文晓","operate_time":"2025-07-1020:09:34"},{"nodeEvent":"认领协同子单","nodeEventKey":"CLAIM","operate_by":"yuxian.zhu","operate_name":"朱雨娴","operate_time":"2025-07-1109:08:35"},{"nodeEvent":"工单处理超过48小时，请及时关注","nodeEventKey":"UPGRADE","operate_by":"system","operate_name":"系统","operate_time":"2025-07-1109:10:00"}]</t>
  </si>
  <si>
    <t>15015631383用户进线反馈自己刚提的新车才2个月，现在发现车前保险杠那里没有卡好，到了售后之后师傅告知说前杠的里面已经有严重的磨损了，用户表示没有发生过碰撞，认为是车辆交付的时候就存在这个问题了，表示不满
用户诉求：要求给到一个满意的答复
坐席已做：帮其核实反馈</t>
  </si>
  <si>
    <t>2025-07-0310:31:41</t>
  </si>
  <si>
    <t>2025-07-1210:05:48</t>
  </si>
  <si>
    <t>[{"nodeEvent":"创建协同子单","nodeEventKey":"CREATE","operate_by":"xue.yuan","operate_name":"袁雪","operate_time":"2025-07-0310:31:41"},{"nodeEvent":"将协同人修改为二线客诉组,佛山蔚来体验官,佛山SO-ASC-星悦,欧振豪(zhenhao.ou)","nodeEventKey":"TRANSFER_COOPERATED_OPERATOR","operate_by":"xue.yuan","operate_name":"袁雪","operate_time":"2025-07-0310:31:53"},{"nodeEvent":"将协同人修改为二线客诉组,佛山蔚来体验官,佛山SO-ASC-星悦,佛山蔚来现场交付,欧振豪(zhenhao.ou)","nodeEventKey":"TRANSFER_COOPERATED_OPERATOR","operate_by":"xue.yuan","operate_name":"袁雪","operate_time":"2025-07-0310:32:22"},{"nodeEvent":"转派协同子单至","nodeEventKey":"TRANSFER_TO","operate_by":"yuxian.zhu","operate_name":"朱雨娴","operate_time":"2025-07-0311:17:37"},{"nodeEvent":"认领协同子单","nodeEventKey":"CLAIM","operate_by":"yuxian.zhu","operate_name":"朱雨娴","operate_time":"2025-07-0311:17:57"},{"nodeEvent":"设置了沟通结论","nodeEventKey":"SET_SOLUTION","operate_by":"yuxian.zhu","operate_name":"朱雨娴","operate_time":"2025-07-0311:18:13"},{"nodeEvent":"完成协同子单","nodeEventKey":"COMPLETE","operate_by":"yuxian.zhu","operate_name":"朱雨娴","operate_time":"2025-07-0311:18:14"},{"nodeEvent":"子单重启","nodeEventKey":"REOPEN","operate_by":"mikey.hu","operate_name":"胡成超","operate_time":"2025-07-0318:40:02"},{"nodeEvent":"将协同人修改为李诗华(ava.li),二线客诉组,佛山蔚来体验官,佛山SO-ASC-星悦,佛山蔚来现场交付,欧振豪(zhenhao.ou)","nodeEventKey":"TRANSFER_COOPERATED_OPERATOR","operate_by":"yuxian.zhu","operate_name":"朱雨娴","operate_time":"2025-07-0411:43:08"},{"nodeEvent":"完成协同子单","nodeEventKey":"COMPLETE","operate_by":"yuxian.zhu","operate_name":"朱雨娴","operate_time":"2025-07-0415:18:36"},{"nodeEvent":"子单重启","nodeEventKey":"REOPEN","operate_by":"jack.jiang1","operate_name":"姜佳琦","operate_time":"2025-07-1115:17:51"},{"nodeEvent":"超时原因:已沟通解决方案，但无法达成一致","nodeEventKey":"TIMEOUT_HANDS_UP","operate_by":"yuxian.zhu","operate_name":"朱雨娴","operate_time":"2025-07-1117:36:54"},{"nodeEvent":"完成协同子单","nodeEventKey":"COMPLETE","operate_by":"yuxian.zhu","operate_name":"朱雨娴","operate_time":"2025-07-1210:05:48"}]</t>
  </si>
  <si>
    <t xml:space="preserve">845268498524424505
2025-07-0517:00
佛山顺德
代步车问题投诉
1：代步车车况很糟糕，第一辆给的时候，又脏又臭，给调换第2辆时间晚上7:45分说出发送过来差不多10点多才送到
2：代步车换电问题：担心像中午那台只有百分之几的电所以打电话问，专员当时表示去佛山会安排换电，结果接车后发现续航只有200多
3：代步车脏污问题：当时表示会安排洗车，结果接到车后，车里面有一条湿的大毛巾，还有脏兮兮的白色纸巾，还有一股吃过麦当劳的嗅味，车依然是脏的
用户问专员：表示下雨了，当时在大良那边冲洗过（电不是满的，车也是脏的）
4：专员态度不好：师傅态度还不是那么友好的叫我还车记得换满电不要影响下一位，我忘记回他一句今天中午只有百分之几的电还是我自己去红岗换的
5：重点情况-毫无征兆的情况下突然断电，连打闪双的时间都没有，开就不超40的速度后面还有一台白色车差点追尾，如果在高速不敢想像，需要一个合理的解释不然就投诉
需求：
第一：车按质量修好，尽快交车
第二：要知道今天中午的车为什么突然断电
第三：怎么保证车主的安全，今天突然断电停在路中间还挡住其他车出车
</t>
  </si>
  <si>
    <t>2025-07-0708:43:32</t>
  </si>
  <si>
    <t>2025-07-0919:09:57</t>
  </si>
  <si>
    <t>[{"nodeEvent":"创建协同子单","nodeEventKey":"CREATE","operate_by":"zule.chen","operate_name":"陈祖乐","operate_time":"2025-07-0708:43:32"},{"nodeEvent":"将协同人修改为梁敏怡(minyi.liang),佛山SO-NSC-顺德红岗,佛山蔚来体验官,羊城小管家,郑泽峰(zefeng.zheng1)","nodeEventKey":"TRANSFER_COOPERATED_OPERATOR","operate_by":"zule.chen","operate_name":"陈祖乐","operate_time":"2025-07-0708:43:55"},{"nodeEvent":"将协同人修改为刘志强(lewis.liu1),梁敏怡(minyi.liang),佛山SO-NSC-顺德红岗,佛山蔚来体验官,羊城小管家,郑泽峰(zefeng.zheng1)","nodeEventKey":"TRANSFER_COOPERATED_OPERATOR","operate_by":"yuxian.zhu","operate_name":"朱雨娴","operate_time":"2025-07-0709:15:56"},{"nodeEvent":"认领协同子单","nodeEventKey":"CLAIM","operate_by":"yuxian.zhu","operate_name":"朱雨娴","operate_time":"2025-07-0709:16:02"},{"nodeEvent":"设置了沟通结论","nodeEventKey":"SET_SOLUTION","operate_by":"yuxian.zhu","operate_name":"朱雨娴","operate_time":"2025-07-0718:51:18"},{"nodeEvent":"完成协同子单","nodeEventKey":"COMPLETE","operate_by":"yuxian.zhu","operate_name":"朱雨娴","operate_time":"2025-07-0718:51:21"},{"nodeEvent":"子单重启","nodeEventKey":"REOPEN","operate_by":"zule.chen","operate_name":"陈祖乐","operate_time":"2025-07-0813:05:34"},{"nodeEvent":"转派协同子单至","nodeEventKey":"TRANSFER_TO","operate_by":"zule.chen","operate_name":"陈祖乐","operate_time":"2025-07-0818:43:24"},{"nodeEvent":"认领协同子单","nodeEventKey":"CLAIM","operate_by":"yuxian.zhu","operate_name":"朱雨娴","operate_time":"2025-07-0818:49:15"},{"nodeEvent":"工单处理超过48小时，请及时关注","nodeEventKey":"UPGRADE","operate_by":"system","operate_name":"系统","operate_time":"2025-07-0908:50:00"},{"nodeEvent":"超时原因:沟通确认方案中","nodeEventKey":"TIMEOUT_HANDS_UP","operate_by":"yuxian.zhu","operate_name":"朱雨娴","operate_time":"2025-07-0910:48:19"},{"nodeEvent":"完成协同子单","nodeEventKey":"COMPLETE","operate_by":"yuxian.zhu","operate_name":"朱雨娴","operate_time":"2025-07-0919:09:57"}]</t>
  </si>
  <si>
    <t>2025-07-0816:02:39</t>
  </si>
  <si>
    <t>2025-07-0916:49:02</t>
  </si>
  <si>
    <t>[{"nodeEvent":"创建协同子单","nodeEventKey":"CREATE","operate_by":"chunyang.chen","operate_name":"陈春阳","operate_time":"2025-07-0816:02:39"},{"nodeEvent":"设置了沟通结论","nodeEventKey":"SET_SOLUTION","operate_by":"jason.hu5","operate_name":"胡骏洲","operate_time":"2025-07-0816:03:26"},{"nodeEvent":"完成协同子单","nodeEventKey":"COMPLETE","operate_by":"jason.hu5","operate_name":"胡骏洲","operate_time":"2025-07-0816:07:43"},{"nodeEvent":"子单重启","nodeEventKey":"REOPEN","operate_by":"chunyang.chen","operate_name":"陈春阳","operate_time":"2025-07-0816:41:07"},{"nodeEvent":"将协同人修改为胡骏洲(jason.hu5),潘晓雯(xiaowen.pan)","nodeEventKey":"TRANSFER_COOPERATED_OPERATOR","operate_by":"chunyang.chen","operate_name":"陈春阳","operate_time":"2025-07-0820:57:41"},{"nodeEvent":"取消设置沟通结论","nodeEventKey":"CANCEL_SOLUTION","operate_by":"sheng.ju","operate_name":"居胜","operate_time":"2025-07-0916:48:45"},{"nodeEvent":"设置了沟通结论","nodeEventKey":"SET_SOLUTION","operate_by":"sheng.ju","operate_name":"居胜","operate_time":"2025-07-0916:48:45"},{"nodeEvent":"转派协同子单至","nodeEventKey":"TRANSFER_TO","operate_by":"sheng.ju","operate_name":"居胜","operate_time":"2025-07-0916:48:55"},{"nodeEvent":"完成协同子单","nodeEventKey":"COMPLETE","operate_by":"sheng.ju","operate_name":"居胜","operate_time":"2025-07-0916:49:02"}]</t>
  </si>
  <si>
    <t>停放受损被砸了要求协助代办处理已婉拒已自行联系保司指引需要拖车可以优先联系保司如果不能安排我方安排</t>
  </si>
  <si>
    <t>2025-07-0508:15:06</t>
  </si>
  <si>
    <t>[{"nodeEvent":"创建协同子单","nodeEventKey":"CREATE","operate_by":"hao.li19","operate_name":"李浩","operate_time":"2025-07-0508:15:06"},{"nodeEvent":"将协同人修改为佛山SO-NSC-顺德红岗,二线客诉组,佛山蔚来体验官,陆应钦(yingqin.lu),阮致豪(zhihao.ruan)","nodeEventKey":"TRANSFER_COOPERATED_OPERATOR","operate_by":"yuxian.zhu","operate_name":"朱雨娴","operate_time":"2025-07-0509:54:30"},{"nodeEvent":"转派协同子单至","nodeEventKey":"TRANSFER_TO","operate_by":"yuxian.zhu","operate_name":"朱雨娴","operate_time":"2025-07-0600:09:11"},{"nodeEvent":"认领协同子单","nodeEventKey":"CLAIM","operate_by":"yuxian.zhu","operate_name":"朱雨娴","operate_time":"2025-07-0600:09:13"},{"nodeEvent":"工单处理超过48小时，请及时关注","nodeEventKey":"UPGRADE","operate_by":"system","operate_name":"系统","operate_time":"2025-07-0708:20:00"},{"nodeEvent":"超时原因:沟通确认方案中","nodeEventKey":"TIMEOUT_HANDS_UP","operate_by":"yuxian.zhu","operate_name":"朱雨娴","operate_time":"2025-07-0709:49:57"},{"nodeEvent":"转派协同子单至","nodeEventKey":"TRANSFER_TO","operate_by":"ava.li","operate_name":"李诗华","operate_time":"2025-07-1010:15:25"},{"nodeEvent":"设置了沟通结论","nodeEventKey":"SET_SOLUTION","operate_by":"ava.li","operate_name":"李诗华","operate_time":"2025-07-1010:16:00"},{"nodeEvent":"完成协同子单","nodeEventKey":"COMPLETE","operate_by":"ava.li","operate_name":"李诗华","operate_time":"2025-07-1010:16:04"},{"nodeEvent":"子单重启","nodeEventKey":"REOPEN","operate_by":"zule.chen","operate_name":"陈祖乐","operate_time":"2025-07-1318:21:11"}]</t>
  </si>
  <si>
    <t>2025-07-0516:35:53</t>
  </si>
  <si>
    <t>2025-07-0818:50:09</t>
  </si>
  <si>
    <t>[{"nodeEvent":"创建协同子单","nodeEventKey":"CREATE","operate_by":"wenxiao.pang","operate_name":"庞文晓","operate_time":"2025-07-0516:35:53"},{"nodeEvent":"认领协同子单","nodeEventKey":"CLAIM","operate_by":"yuxian.zhu","operate_name":"朱雨娴","operate_time":"2025-07-0600:04:48"},{"nodeEvent":"将协同人修改为佛山SO-ASC-星悦","nodeEventKey":"TRANSFER_COOPERATED_OPERATOR","operate_by":"wenxiao.pang","operate_name":"庞文晓","operate_time":"2025-07-0615:34:25"},{"nodeEvent":"完成协同子单","nodeEventKey":"COMPLETE","operate_by":"yuxian.zhu","operate_name":"朱雨娴","operate_time":"2025-07-0711:21:35"},{"nodeEvent":"子单重启","nodeEventKey":"REOPEN","operate_by":"wenxiao.pang","operate_name":"庞文晓","operate_time":"2025-07-0816:56:22"},{"nodeEvent":"完成协同子单","nodeEventKey":"COMPLETE","operate_by":"yuxian.zhu","operate_name":"朱雨娴","operate_time":"2025-07-0818:50:09"}]</t>
  </si>
  <si>
    <t>2025-07-0215:22:49</t>
  </si>
  <si>
    <t>2025-07-0415:46:25</t>
  </si>
  <si>
    <t>[{"nodeEvent":"创建协同子单","nodeEventKey":"CREATE","operate_by":"junjie.huang","operate_name":"黄俊杰","operate_time":"2025-07-0215:22:49"},{"nodeEvent":"设置了沟通结论","nodeEventKey":"SET_SOLUTION","operate_by":"yuxian.zhu","operate_name":"朱雨娴","operate_time":"2025-07-0312:15:03"},{"nodeEvent":"完成协同子单","nodeEventKey":"COMPLETE","operate_by":"yuxian.zhu","operate_name":"朱雨娴","operate_time":"2025-07-0312:15:04"},{"nodeEvent":"子单重启","nodeEventKey":"REOPEN","operate_by":"junjie.huang","operate_name":"黄俊杰","operate_time":"2025-07-0314:38:28"},{"nodeEvent":"将协同人修改为佛山SO-NSC-顺德红岗,佛山蔚来体验官,朱雨娴(yuxian.zhu)","nodeEventKey":"TRANSFER_COOPERATED_OPERATOR","operate_by":"junjie.huang","operate_name":"黄俊杰","operate_time":"2025-07-0314:39:50"},{"nodeEvent":"工单处理超过48小时，请及时关注","nodeEventKey":"UPGRADE","operate_by":"system","operate_name":"系统","operate_time":"2025-07-0415:30:01"},{"nodeEvent":"超时原因:沟通确认方案中","nodeEventKey":"TIMEOUT_HANDS_UP","operate_by":"junjie.huang","operate_name":"黄俊杰","operate_time":"2025-07-0415:46:23"},{"nodeEvent":"完成协同子单","nodeEventKey":"COMPLETE","operate_by":"junjie.huang","operate_name":"黄俊杰","operate_time":"2025-07-0415:46:25"}]</t>
  </si>
  <si>
    <t>原声：用户进线投诉电机问题，售后服务差，先是在6月底到珠海售后维保检查，耽误了十来天，说处理不了，现在说取车到广州京溪门店再维保，又要重新检查，耽误时间，也不是个人问题，代步车还要扣除权益，对此无法接受
诉求：珠海维修的所有检查情况转给广州京溪，影响用车需要提供代步车
坐席：在线安抚记录反馈</t>
  </si>
  <si>
    <t>2025-07-1213:53:08</t>
  </si>
  <si>
    <t>2025-07-1316:12:19</t>
  </si>
  <si>
    <t>[{"nodeEvent":"创建协同子单","nodeEventKey":"CREATE","operate_by":"bin.wang13","operate_name":"王斌","operate_time":"2025-07-1213:53:08"},{"nodeEvent":"将协同人修改为苏家和(jiahe.su),马书文(mars.ma4),广州SO-ASC珠海金鼎汽车城,二线客诉组,广州蔚来体验官,广州SO-ASC白云京溪","nodeEventKey":"TRANSFER_COOPERATED_OPERATOR","operate_by":"zhaocan.zhu","operate_name":"朱兆灿","operate_time":"2025-07-1214:27:19"},{"nodeEvent":"设置了沟通结论","nodeEventKey":"SET_SOLUTION","operate_by":"zhaocan.zhu","operate_name":"朱兆灿","operate_time":"2025-07-1313:03:02"},{"nodeEvent":"完成协同子单","nodeEventKey":"COMPLETE","operate_by":"zhaocan.zhu","operate_name":"朱兆灿","operate_time":"2025-07-1313:03:04"},{"nodeEvent":"子单重启","nodeEventKey":"REOPEN","operate_by":"felix.chen6","operate_name":"陈志强","operate_time":"2025-07-1315:40:56"},{"nodeEvent":"完成协同子单","nodeEventKey":"COMPLETE","operate_by":"zhaocan.zhu","operate_name":"朱兆灿","operate_time":"2025-07-1316:12:19"}]</t>
  </si>
  <si>
    <t>2025-07-1116:41:14</t>
  </si>
  <si>
    <t>2025-07-1120:59:15</t>
  </si>
  <si>
    <t>[{"nodeEvent":"创建协同子单","nodeEventKey":"CREATE","operate_by":"chunyang.chen","operate_name":"陈春阳","operate_time":"2025-07-1116:41:14"},{"nodeEvent":"完成协同子单","nodeEventKey":"COMPLETE","operate_by":"james.guan","operate_name":"关永舜","operate_time":"2025-07-1120:12:40"},{"nodeEvent":"子单重启","nodeEventKey":"REOPEN","operate_by":"chunyang.chen","operate_name":"陈春阳","operate_time":"2025-07-1120:31:44"},{"nodeEvent":"完成协同子单","nodeEventKey":"COMPLETE","operate_by":"james.guan","operate_name":"关永舜","operate_time":"2025-07-1120:59:15"}]</t>
  </si>
  <si>
    <t>2025-07-0211:46:06</t>
  </si>
  <si>
    <t>2025-07-0414:34:56</t>
  </si>
  <si>
    <t>[{"nodeEvent":"创建协同子单","nodeEventKey":"CREATE","operate_by":"hao.li19","operate_name":"李浩","operate_time":"2025-07-0211:46:06"},{"nodeEvent":"转派协同子单至","nodeEventKey":"TRANSFER_TO","operate_by":"yuxian.zhu","operate_name":"朱雨娴","operate_time":"2025-07-0212:02:36"},{"nodeEvent":"认领协同子单","nodeEventKey":"CLAIM","operate_by":"yuxian.zhu","operate_name":"朱雨娴","operate_time":"2025-07-0212:02:38"},{"nodeEvent":"将协同人修改为王佳琳(jialin.wang),佛山SO-NSC-顺德红岗,佛山蔚来体验官,二线客诉组,羊城小管家","nodeEventKey":"TRANSFER_COOPERATED_OPERATOR","operate_by":"junjie.huang","operate_name":"黄俊杰","operate_time":"2025-07-0212:23:12"},{"nodeEvent":"设置了沟通结论","nodeEventKey":"SET_SOLUTION","operate_by":"yuxian.zhu","operate_name":"朱雨娴","operate_time":"2025-07-0216:45:08"},{"nodeEvent":"完成协同子单","nodeEventKey":"COMPLETE","operate_by":"yuxian.zhu","operate_name":"朱雨娴","operate_time":"2025-07-0216:45:09"},{"nodeEvent":"子单重启","nodeEventKey":"REOPEN","operate_by":"zhen.wu","operate_name":"武振","operate_time":"2025-07-0313:33:53"},{"nodeEvent":"将协同人修改为王佳琳(jialin.wang),佛山SO-NSC-顺德红岗,佛山蔚来体验官,二线客诉组,佛山蔚来体验官,朱雨娴(yuxian.zhu)","nodeEventKey":"TRANSFER_COOPERATED_OPERATOR","operate_by":"yuxian.zhu","operate_name":"朱雨娴","operate_time":"2025-07-0313:52:49"},{"nodeEvent":"转派协同子单至","nodeEventKey":"TRANSFER_TO","operate_by":"yuxian.zhu","operate_name":"朱雨娴","operate_time":"2025-07-0409:15:02"},{"nodeEvent":"认领协同子单","nodeEventKey":"CLAIM","operate_by":"yuxian.zhu","operate_name":"朱雨娴","operate_time":"2025-07-0409:15:03"},{"nodeEvent":"工单处理超过48小时，请及时关注","nodeEventKey":"UPGRADE","operate_by":"system","operate_name":"系统","operate_time":"2025-07-0411:50:01"},{"nodeEvent":"超时原因:沟通确认方案中","nodeEventKey":"TIMEOUT_HANDS_UP","operate_by":"yuxian.zhu","operate_name":"朱雨娴","operate_time":"2025-07-0414:21:30"},{"nodeEvent":"完成协同子单","nodeEventKey":"COMPLETE","operate_by":"yuxian.zhu","operate_name":"朱雨娴","operate_time":"2025-07-0414:34:56"}]</t>
  </si>
  <si>
    <t>计数项:业务类型</t>
  </si>
  <si>
    <t>部门</t>
    <phoneticPr fontId="2" type="noConversion"/>
  </si>
  <si>
    <t>场景</t>
    <phoneticPr fontId="2" type="noConversion"/>
  </si>
  <si>
    <t>重启原因</t>
    <phoneticPr fontId="2" type="noConversion"/>
  </si>
  <si>
    <t>SO</t>
    <phoneticPr fontId="2" type="noConversion"/>
  </si>
  <si>
    <t>用户进线催促尽量处理车辆问题，之前维修进度都有人同步，现在都没人联系的，要求尽快处理，请协助</t>
    <phoneticPr fontId="2" type="noConversion"/>
  </si>
  <si>
    <t>【工单重启】重启原因:无沟通内容</t>
  </si>
  <si>
    <t>咨询-售后服务-维保服务-维保进度</t>
    <phoneticPr fontId="2" type="noConversion"/>
  </si>
  <si>
    <t>购车服务</t>
    <phoneticPr fontId="2" type="noConversion"/>
  </si>
  <si>
    <t>用户咨询</t>
    <phoneticPr fontId="2" type="noConversion"/>
  </si>
  <si>
    <t>用户反映其车辆在经历电机异响问题后，再次出现冷却系统异常，且异常提示持续弹窗，总计185次，认为这是严重的质量问题，要求补偿损失。</t>
    <phoneticPr fontId="2" type="noConversion"/>
  </si>
  <si>
    <t>外力导致</t>
    <phoneticPr fontId="2" type="noConversion"/>
  </si>
  <si>
    <t>【工单重启】重启原因:用户再次进线投诉陆应钦</t>
  </si>
  <si>
    <t>-</t>
    <phoneticPr fontId="2" type="noConversion"/>
  </si>
  <si>
    <t>【工单重启】重启原因:再次进线</t>
  </si>
  <si>
    <t>产品质量</t>
    <phoneticPr fontId="2" type="noConversion"/>
  </si>
  <si>
    <t>【工单重启】重启原因:用户需要答复为什么开着开着马上断电问题，不然12315投诉</t>
  </si>
  <si>
    <t>UO</t>
  </si>
  <si>
    <r>
      <rPr>
        <sz val="7"/>
        <color rgb="FF040B29"/>
        <rFont val="等线"/>
        <family val="2"/>
      </rPr>
      <t>索要积分</t>
    </r>
    <phoneticPr fontId="2" type="noConversion"/>
  </si>
  <si>
    <t>【工单重启】重启原因:用户今天反馈故障再现，辛苦对接用户沟通处理</t>
  </si>
  <si>
    <t>【工单重启】重启原因:用户继续吐槽</t>
  </si>
  <si>
    <t>维修问题</t>
    <phoneticPr fontId="2" type="noConversion"/>
  </si>
  <si>
    <t>【工单重启】重启原因:用户再次进线投诉，表示代步车现在还没有给到自己，还说有押金，已正常告知协同信息，并告知押金会在代步车归还时，无问题会退还，用户不接受，表示用过好多次代步车从来没有听说需要押金，表示要求再加急处理，再处理不好，自己一小时五个电话催，再不行就12315等曝光</t>
  </si>
  <si>
    <t>【工单重启】重启原因:回访用户，沟通中用户情绪良好，关于服务问题用户也没再说啥，就是提到自己在网上搜了下激光雷达故障发现了很多问题，有点担心，也告知售后肯定会处理好的，又再次提到他看到别人都有啥啥的补偿方案，自己昨天只是想尽快修好车之前不知道这些，现在想别人有的他也争取下，未承诺一定有，看看售后伙伴是否可以酌情申请，谢谢</t>
  </si>
  <si>
    <t>未知场景</t>
    <phoneticPr fontId="2" type="noConversion"/>
  </si>
  <si>
    <t>SO</t>
  </si>
  <si>
    <t>产品质量</t>
  </si>
  <si>
    <t>购车服务</t>
  </si>
  <si>
    <t>外力导致</t>
  </si>
  <si>
    <t>未知场景</t>
  </si>
  <si>
    <t>用户咨询</t>
  </si>
  <si>
    <t>计数项:部门</t>
  </si>
  <si>
    <t>计数项:场景</t>
  </si>
  <si>
    <t>XT-20250703MBVIS_H87</t>
  </si>
  <si>
    <t>XT-20250712YDXDOQNRW</t>
  </si>
  <si>
    <t>TK-20250712BOP58HK9B</t>
  </si>
  <si>
    <t>【工单重启】重启原因:同步沟通结果</t>
  </si>
  <si>
    <t>投诉-售后服务-维保服务-维保进度</t>
  </si>
  <si>
    <t>问题描述:用户反映在下单维修服务时，已明确要求并电话沟通了维修问题，但后续在车辆接收后，因无法联系用户而被要求重新沟通确认，用户对此流程感到不满，认为服务流程混乱且沟通不畅，要求官方评估服务流程的合理性并考虑投诉。
沟通结论:服务人员表示理解用户的不满，承诺将记录情况并反馈给相关团队进行研究和评估，同时会跟进用户的投诉问题，寻求改善方案以提升用户体验。</t>
  </si>
  <si>
    <t>2025-07-12 12:40:15</t>
  </si>
  <si>
    <t>2025-07-14 10:08:33</t>
  </si>
  <si>
    <t>[{"nodeEvent":"创建协同子单","nodeEventKey":"CREATE","operate_by":"junjie.huang","operate_name":"黄俊杰","operate_time":"2025-07-12 12:40:15"},{"nodeEvent":"将协同人修改为 梁智烽(james.liang1),佛山SO-NSC-顺德红岗","nodeEventKey":"TRANSFER_COOPERATED_OPERATOR","operate_by":"junjie.huang","operate_name":"黄俊杰","operate_time":"2025-07-12 12:40:37"},{"nodeEvent":"设置了沟通结论","nodeEventKey":"SET_SOLUTION","operate_by":"yuxian.zhu","operate_name":"朱雨娴","operate_time":"2025-07-14 10:04:35"},{"nodeEvent":"完成协同子单","nodeEventKey":"COMPLETE","operate_by":"yuxian.zhu","operate_name":"朱雨娴","operate_time":"2025-07-14 10:04:36"},{"nodeEvent":"子单重启","nodeEventKey":"REOPEN","operate_by":"yuxian.zhu","operate_name":"朱雨娴","operate_time":"2025-07-14 10:08:19"},{"nodeEvent":"完成协同子单","nodeEventKey":"COMPLETE","operate_by":"yuxian.zhu","operate_name":"朱雨娴","operate_time":"2025-07-14 10:08:33"}]</t>
  </si>
  <si>
    <t>45.47166667</t>
  </si>
  <si>
    <t>薛志聪</t>
  </si>
  <si>
    <t>353153165</t>
  </si>
  <si>
    <t>LJ1EFAUU9NG093196</t>
  </si>
  <si>
    <t>用户诉求</t>
  </si>
  <si>
    <t>用户诉求</t>
    <phoneticPr fontId="2" type="noConversion"/>
  </si>
  <si>
    <t>TK-202507035EQUB3TMY</t>
  </si>
  <si>
    <t>投诉-车辆-空气悬架-其他</t>
  </si>
  <si>
    <t>车辆前轮左右悬架高低有问题，差了两个指头大概2-3公分，到顺德门店检查了，售后表示未达到更换标准，无法维修，但是车辆刚1年多，担心后续驾驶遇到问题。询问有无相应的方案。</t>
  </si>
  <si>
    <t>zhiyuan.fan1</t>
  </si>
  <si>
    <t>2025-07-03 22:29:10</t>
  </si>
  <si>
    <t>[{"nodeEvent":"创建协同子单","nodeEventKey":"CREATE","operate_by":"zhiyuan.fan1","operate_name":"范志远","operate_time":"2025-07-03 22:29:10"},{"nodeEvent":"认领协同子单","nodeEventKey":"CLAIM","operate_by":"yuxian.zhu","operate_name":"朱雨娴","operate_time":"2025-07-04 09:13:43"},{"nodeEvent":"转派协同子单至","nodeEventKey":"TRANSFER_TO","operate_by":"aozu.chen","operate_name":"陈澳祖","operate_time":"2025-07-04 21:14:45"},{"nodeEvent":"完成协同子单","nodeEventKey":"COMPLETE","operate_by":"aozu.chen","operate_name":"陈澳祖","operate_time":"2025-07-04 21:14:46"},{"nodeEvent":"子单重启","nodeEventKey":"REOPEN","operate_by":"hao.li19","operate_name":"李浩","operate_time":"2025-07-14 10:47:54"},{"nodeEvent":"将需求标签修改为 投诉/车辆/空气悬架/其他","nodeEventKey":"TAG","operate_by":"hao.li19","operate_name":"李浩","operate_time":"2025-07-14 10:47:58"},{"nodeEvent":"工单处理超过48小时，请及时关注","nodeEventKey":"UPGRADE","operate_by":"system","operate_name":"系统","operate_time":"2025-07-14 10:50:00"},{"nodeEvent":"转派协同子单至","nodeEventKey":"TRANSFER_TO","operate_by":"yuxian.zhu","operate_name":"朱雨娴","operate_time":"2025-07-14 11:58:36"},{"nodeEvent":"认领协同子单","nodeEventKey":"CLAIM","operate_by":"yuxian.zhu","operate_name":"朱雨娴","operate_time":"2025-07-14 11:58:38"},{"nodeEvent":"超时原因:已沟通解决方案，但无法达成一致","nodeEventKey":"TIMEOUT_HANDS_UP","operate_by":"yuxian.zhu","operate_name":"朱雨娴","operate_time":"2025-07-14 11:58:48"},{"nodeEvent":"设置了沟通结论","nodeEventKey":"SET_SOLUTION","operate_by":"yuxian.zhu","operate_name":"朱雨娴","operate_time":"2025-07-14 12:01:04"}]</t>
  </si>
  <si>
    <t>253.51388889</t>
  </si>
  <si>
    <t>尤贤仲</t>
  </si>
  <si>
    <t>176325626</t>
  </si>
  <si>
    <t>LJ1E6A2U0PG053238</t>
  </si>
  <si>
    <t>【工单重启】重启原因:用户针对悬挂的问题不满，要求投诉，目前的述求是需要进行更换，辛苦协助</t>
  </si>
  <si>
    <t>Row Labels</t>
  </si>
  <si>
    <t>Grand Total</t>
  </si>
  <si>
    <t>维修问题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</si>
</sst>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Calibri"/>
      <family val="2"/>
      <scheme val="minor"/>
    </font>
    <font>
      <b/>
      <sz val="14"/>
      <name val="宋体"/>
      <charset val="134"/>
    </font>
    <font>
      <sz val="9"/>
      <name val="Calibri"/>
      <family val="3"/>
      <charset val="134"/>
      <scheme val="minor"/>
    </font>
    <font>
      <b/>
      <sz val="14"/>
      <name val="宋体"/>
      <family val="3"/>
      <charset val="134"/>
    </font>
    <font>
      <sz val="7"/>
      <color rgb="FF040B29"/>
      <name val="Arial"/>
      <family val="2"/>
    </font>
    <font>
      <sz val="7"/>
      <color rgb="FF040B29"/>
      <name val="微软雅黑"/>
      <family val="2"/>
      <charset val="134"/>
    </font>
    <font>
      <sz val="7"/>
      <color rgb="FF040B29"/>
      <name val="等线"/>
      <family val="2"/>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0">
    <xf numFmtId="0" fontId="0" fillId="0" borderId="0" xfId="0">
      <alignment vertical="center"/>
    </xf>
    <xf numFmtId="0" fontId="0" fillId="0" borderId="0" xfId="0" applyAlignment="1">
      <alignment vertical="center" wrapText="1"/>
    </xf>
    <xf numFmtId="0" fontId="0" fillId="0" borderId="0" xfId="0" pivotButton="1">
      <alignment vertical="center"/>
    </xf>
    <xf numFmtId="0" fontId="0" fillId="0" borderId="0" xfId="0" applyAlignment="1">
      <alignment horizontal="left" vertical="center"/>
    </xf>
    <xf numFmtId="0" fontId="4" fillId="0" borderId="0" xfId="0" applyFont="1">
      <alignment vertical="center"/>
    </xf>
    <xf numFmtId="0" fontId="5" fillId="0" borderId="0" xfId="0" applyFont="1">
      <alignment vertical="center"/>
    </xf>
    <xf numFmtId="49" fontId="1"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0" fillId="0" borderId="0" xfId="0" applyNumberFormat="1">
      <alignment vertical="center"/>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[重启工单7月.xlsx]看板!数据透视表1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t>重启工单</a:t>
            </a:r>
            <a:r>
              <a:rPr lang="en-US"/>
              <a:t>-</a:t>
            </a:r>
            <a:r>
              <a:rPr lang="zh-CN"/>
              <a:t>投诉</a:t>
            </a:r>
            <a:r>
              <a:rPr lang="en-US" altLang="zh-CN"/>
              <a:t>/</a:t>
            </a:r>
            <a:r>
              <a:rPr lang="zh-CN" altLang="en-US"/>
              <a:t>咨询</a:t>
            </a:r>
            <a:r>
              <a:rPr lang="en-US" altLang="zh-CN"/>
              <a:t>/</a:t>
            </a:r>
            <a:r>
              <a:rPr lang="zh-CN" altLang="en-US"/>
              <a:t>吐槽</a:t>
            </a:r>
            <a:endParaRPr lang="en-US" alt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C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zh-CN"/>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看板!$B$5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82-4F37-99C8-AFF41BEB0C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82-4F37-99C8-AFF41BEB0C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82-4F37-99C8-AFF41BEB0C6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zh-CN"/>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看板!$A$6:$A$9</c:f>
              <c:strCache>
                <c:ptCount val="3"/>
                <c:pt idx="0">
                  <c:v>投诉</c:v>
                </c:pt>
                <c:pt idx="1">
                  <c:v>咨询</c:v>
                </c:pt>
                <c:pt idx="2">
                  <c:v>吐槽</c:v>
                </c:pt>
              </c:strCache>
            </c:strRef>
          </c:cat>
          <c:val>
            <c:numRef>
              <c:f>看板!$B$6:$B$9</c:f>
              <c:numCache>
                <c:formatCode>General</c:formatCode>
                <c:ptCount val="3"/>
                <c:pt idx="0">
                  <c:v>8</c:v>
                </c:pt>
                <c:pt idx="1">
                  <c:v>3</c:v>
                </c:pt>
                <c:pt idx="2">
                  <c:v>3</c:v>
                </c:pt>
              </c:numCache>
            </c:numRef>
          </c:val>
          <c:extLst>
            <c:ext xmlns:c16="http://schemas.microsoft.com/office/drawing/2014/chart" uri="{C3380CC4-5D6E-409C-BE32-E72D297353CC}">
              <c16:uniqueId val="{00000000-1A1E-4DAA-A773-AAB44469A87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[重启工单7月.xlsx]看板!数据透视表18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重启工单</a:t>
            </a:r>
            <a:r>
              <a:rPr lang="en-US" altLang="zh-CN"/>
              <a:t>-</a:t>
            </a:r>
            <a:r>
              <a:rPr lang="zh-CN" altLang="en-US"/>
              <a:t>部门</a:t>
            </a:r>
            <a:endParaRPr lang="en-US" alt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看板!$J$5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看板!$I$6:$I$8</c:f>
              <c:strCache>
                <c:ptCount val="2"/>
                <c:pt idx="0">
                  <c:v>UO</c:v>
                </c:pt>
                <c:pt idx="1">
                  <c:v>SO</c:v>
                </c:pt>
              </c:strCache>
            </c:strRef>
          </c:cat>
          <c:val>
            <c:numRef>
              <c:f>看板!$J$6:$J$8</c:f>
              <c:numCache>
                <c:formatCode>General</c:formatCode>
                <c:ptCount val="2"/>
                <c:pt idx="0">
                  <c:v>3</c:v>
                </c:pt>
                <c:pt idx="1">
                  <c:v>11</c:v>
                </c:pt>
              </c:numCache>
            </c:numRef>
          </c:val>
          <c:extLst>
            <c:ext xmlns:c16="http://schemas.microsoft.com/office/drawing/2014/chart" uri="{C3380CC4-5D6E-409C-BE32-E72D297353CC}">
              <c16:uniqueId val="{00000000-602A-4C63-9C71-EE19BC663FE6}"/>
            </c:ext>
          </c:extLst>
        </c:ser>
        <c:dLbls>
          <c:dLblPos val="outEnd"/>
          <c:showLegendKey val="0"/>
          <c:showVal val="1"/>
          <c:showCatName val="0"/>
          <c:showSerName val="0"/>
          <c:showPercent val="0"/>
          <c:showBubbleSize val="0"/>
        </c:dLbls>
        <c:gapWidth val="182"/>
        <c:axId val="1101426288"/>
        <c:axId val="1101442928"/>
      </c:barChart>
      <c:catAx>
        <c:axId val="110142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1442928"/>
        <c:crosses val="autoZero"/>
        <c:auto val="1"/>
        <c:lblAlgn val="ctr"/>
        <c:lblOffset val="100"/>
        <c:noMultiLvlLbl val="0"/>
      </c:catAx>
      <c:valAx>
        <c:axId val="1101442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1426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[重启工单7月.xlsx]看板!数据透视表19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重启工单</a:t>
            </a:r>
            <a:r>
              <a:rPr lang="en-US" altLang="zh-CN"/>
              <a:t>-</a:t>
            </a:r>
            <a:r>
              <a:rPr lang="zh-CN" altLang="en-US"/>
              <a:t>场景</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s>
    <c:plotArea>
      <c:layout/>
      <c:barChart>
        <c:barDir val="col"/>
        <c:grouping val="clustered"/>
        <c:varyColors val="0"/>
        <c:ser>
          <c:idx val="0"/>
          <c:order val="0"/>
          <c:tx>
            <c:strRef>
              <c:f>看板!$B$19</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看板!$A$20:$A$27</c:f>
              <c:strCache>
                <c:ptCount val="7"/>
                <c:pt idx="0">
                  <c:v>产品质量</c:v>
                </c:pt>
                <c:pt idx="1">
                  <c:v>用户诉求</c:v>
                </c:pt>
                <c:pt idx="2">
                  <c:v>用户咨询</c:v>
                </c:pt>
                <c:pt idx="3">
                  <c:v>购车服务</c:v>
                </c:pt>
                <c:pt idx="4">
                  <c:v>外力导致</c:v>
                </c:pt>
                <c:pt idx="5">
                  <c:v>未知场景</c:v>
                </c:pt>
                <c:pt idx="6">
                  <c:v>维修问题</c:v>
                </c:pt>
              </c:strCache>
            </c:strRef>
          </c:cat>
          <c:val>
            <c:numRef>
              <c:f>看板!$B$20:$B$27</c:f>
              <c:numCache>
                <c:formatCode>General</c:formatCode>
                <c:ptCount val="7"/>
                <c:pt idx="0">
                  <c:v>4</c:v>
                </c:pt>
                <c:pt idx="1">
                  <c:v>2</c:v>
                </c:pt>
                <c:pt idx="2">
                  <c:v>2</c:v>
                </c:pt>
                <c:pt idx="3">
                  <c:v>2</c:v>
                </c:pt>
                <c:pt idx="4">
                  <c:v>2</c:v>
                </c:pt>
                <c:pt idx="5">
                  <c:v>1</c:v>
                </c:pt>
                <c:pt idx="6">
                  <c:v>1</c:v>
                </c:pt>
              </c:numCache>
            </c:numRef>
          </c:val>
          <c:extLst>
            <c:ext xmlns:c16="http://schemas.microsoft.com/office/drawing/2014/chart" uri="{C3380CC4-5D6E-409C-BE32-E72D297353CC}">
              <c16:uniqueId val="{00000000-75CA-40C1-8DA1-64596185A2B0}"/>
            </c:ext>
          </c:extLst>
        </c:ser>
        <c:dLbls>
          <c:dLblPos val="outEnd"/>
          <c:showLegendKey val="0"/>
          <c:showVal val="1"/>
          <c:showCatName val="0"/>
          <c:showSerName val="0"/>
          <c:showPercent val="0"/>
          <c:showBubbleSize val="0"/>
        </c:dLbls>
        <c:gapWidth val="219"/>
        <c:overlap val="-27"/>
        <c:axId val="1101423792"/>
        <c:axId val="1101418384"/>
      </c:barChart>
      <c:catAx>
        <c:axId val="110142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1418384"/>
        <c:crosses val="autoZero"/>
        <c:auto val="1"/>
        <c:lblAlgn val="ctr"/>
        <c:lblOffset val="100"/>
        <c:noMultiLvlLbl val="0"/>
      </c:catAx>
      <c:valAx>
        <c:axId val="110141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142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165101</xdr:rowOff>
    </xdr:from>
    <xdr:to>
      <xdr:col>1</xdr:col>
      <xdr:colOff>637988</xdr:colOff>
      <xdr:row>15</xdr:row>
      <xdr:rowOff>171451</xdr:rowOff>
    </xdr:to>
    <mc:AlternateContent xmlns:mc="http://schemas.openxmlformats.org/markup-compatibility/2006" xmlns:a14="http://schemas.microsoft.com/office/drawing/2010/main">
      <mc:Choice Requires="a14">
        <xdr:graphicFrame macro="">
          <xdr:nvGraphicFramePr>
            <xdr:cNvPr id="2" name="业务类型">
              <a:extLst>
                <a:ext uri="{FF2B5EF4-FFF2-40B4-BE49-F238E27FC236}">
                  <a16:creationId xmlns:a16="http://schemas.microsoft.com/office/drawing/2014/main" id="{BD70B077-7106-4AA7-834E-A9D69962CA60}"/>
                </a:ext>
              </a:extLst>
            </xdr:cNvPr>
            <xdr:cNvGraphicFramePr/>
          </xdr:nvGraphicFramePr>
          <xdr:xfrm>
            <a:off x="0" y="0"/>
            <a:ext cx="0" cy="0"/>
          </xdr:xfrm>
          <a:graphic>
            <a:graphicData uri="http://schemas.microsoft.com/office/drawing/2010/slicer">
              <sle:slicer xmlns:sle="http://schemas.microsoft.com/office/drawing/2010/slicer" name="业务类型"/>
            </a:graphicData>
          </a:graphic>
        </xdr:graphicFrame>
      </mc:Choice>
      <mc:Fallback xmlns="">
        <xdr:sp macro="" textlink="">
          <xdr:nvSpPr>
            <xdr:cNvPr id="0" name=""/>
            <xdr:cNvSpPr>
              <a:spLocks noTextEdit="1"/>
            </xdr:cNvSpPr>
          </xdr:nvSpPr>
          <xdr:spPr>
            <a:xfrm>
              <a:off x="0" y="1420160"/>
              <a:ext cx="1579282" cy="1082115"/>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xdr:from>
      <xdr:col>2</xdr:col>
      <xdr:colOff>76200</xdr:colOff>
      <xdr:row>3</xdr:row>
      <xdr:rowOff>123825</xdr:rowOff>
    </xdr:from>
    <xdr:to>
      <xdr:col>7</xdr:col>
      <xdr:colOff>31750</xdr:colOff>
      <xdr:row>15</xdr:row>
      <xdr:rowOff>127000</xdr:rowOff>
    </xdr:to>
    <xdr:graphicFrame macro="">
      <xdr:nvGraphicFramePr>
        <xdr:cNvPr id="3" name="图表 2">
          <a:extLst>
            <a:ext uri="{FF2B5EF4-FFF2-40B4-BE49-F238E27FC236}">
              <a16:creationId xmlns:a16="http://schemas.microsoft.com/office/drawing/2014/main" id="{2FC9337C-BADB-42B2-9FC9-2AE3C6B5B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23346</xdr:colOff>
      <xdr:row>3</xdr:row>
      <xdr:rowOff>178172</xdr:rowOff>
    </xdr:from>
    <xdr:to>
      <xdr:col>15</xdr:col>
      <xdr:colOff>481907</xdr:colOff>
      <xdr:row>14</xdr:row>
      <xdr:rowOff>98665</xdr:rowOff>
    </xdr:to>
    <xdr:graphicFrame macro="">
      <xdr:nvGraphicFramePr>
        <xdr:cNvPr id="5" name="图表 4">
          <a:extLst>
            <a:ext uri="{FF2B5EF4-FFF2-40B4-BE49-F238E27FC236}">
              <a16:creationId xmlns:a16="http://schemas.microsoft.com/office/drawing/2014/main" id="{42B63790-F5F7-47D6-A97A-CD195CC42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6350</xdr:colOff>
      <xdr:row>8</xdr:row>
      <xdr:rowOff>122464</xdr:rowOff>
    </xdr:from>
    <xdr:to>
      <xdr:col>9</xdr:col>
      <xdr:colOff>586161</xdr:colOff>
      <xdr:row>13</xdr:row>
      <xdr:rowOff>68036</xdr:rowOff>
    </xdr:to>
    <mc:AlternateContent xmlns:mc="http://schemas.openxmlformats.org/markup-compatibility/2006" xmlns:a14="http://schemas.microsoft.com/office/drawing/2010/main">
      <mc:Choice Requires="a14">
        <xdr:graphicFrame macro="">
          <xdr:nvGraphicFramePr>
            <xdr:cNvPr id="6" name="部门">
              <a:extLst>
                <a:ext uri="{FF2B5EF4-FFF2-40B4-BE49-F238E27FC236}">
                  <a16:creationId xmlns:a16="http://schemas.microsoft.com/office/drawing/2014/main" id="{7560B8FF-49C9-42BA-9E9C-279FCE184900}"/>
                </a:ext>
              </a:extLst>
            </xdr:cNvPr>
            <xdr:cNvGraphicFramePr/>
          </xdr:nvGraphicFramePr>
          <xdr:xfrm>
            <a:off x="0" y="0"/>
            <a:ext cx="0" cy="0"/>
          </xdr:xfrm>
          <a:graphic>
            <a:graphicData uri="http://schemas.microsoft.com/office/drawing/2010/slicer">
              <sle:slicer xmlns:sle="http://schemas.microsoft.com/office/drawing/2010/slicer" name="部门"/>
            </a:graphicData>
          </a:graphic>
        </xdr:graphicFrame>
      </mc:Choice>
      <mc:Fallback xmlns="">
        <xdr:sp macro="" textlink="">
          <xdr:nvSpPr>
            <xdr:cNvPr id="0" name=""/>
            <xdr:cNvSpPr>
              <a:spLocks noTextEdit="1"/>
            </xdr:cNvSpPr>
          </xdr:nvSpPr>
          <xdr:spPr>
            <a:xfrm>
              <a:off x="5527115" y="1198229"/>
              <a:ext cx="1511034" cy="842041"/>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editAs="oneCell">
    <xdr:from>
      <xdr:col>2</xdr:col>
      <xdr:colOff>35112</xdr:colOff>
      <xdr:row>18</xdr:row>
      <xdr:rowOff>5230</xdr:rowOff>
    </xdr:from>
    <xdr:to>
      <xdr:col>4</xdr:col>
      <xdr:colOff>85910</xdr:colOff>
      <xdr:row>28</xdr:row>
      <xdr:rowOff>30631</xdr:rowOff>
    </xdr:to>
    <mc:AlternateContent xmlns:mc="http://schemas.openxmlformats.org/markup-compatibility/2006" xmlns:a14="http://schemas.microsoft.com/office/drawing/2010/main">
      <mc:Choice Requires="a14">
        <xdr:graphicFrame macro="">
          <xdr:nvGraphicFramePr>
            <xdr:cNvPr id="7" name="场景">
              <a:extLst>
                <a:ext uri="{FF2B5EF4-FFF2-40B4-BE49-F238E27FC236}">
                  <a16:creationId xmlns:a16="http://schemas.microsoft.com/office/drawing/2014/main" id="{6260D456-1247-4EC2-BE8D-C223F62CA827}"/>
                </a:ext>
              </a:extLst>
            </xdr:cNvPr>
            <xdr:cNvGraphicFramePr/>
          </xdr:nvGraphicFramePr>
          <xdr:xfrm>
            <a:off x="0" y="0"/>
            <a:ext cx="0" cy="0"/>
          </xdr:xfrm>
          <a:graphic>
            <a:graphicData uri="http://schemas.microsoft.com/office/drawing/2010/slicer">
              <sle:slicer xmlns:sle="http://schemas.microsoft.com/office/drawing/2010/slicer" name="场景"/>
            </a:graphicData>
          </a:graphic>
        </xdr:graphicFrame>
      </mc:Choice>
      <mc:Fallback xmlns="">
        <xdr:sp macro="" textlink="">
          <xdr:nvSpPr>
            <xdr:cNvPr id="0" name=""/>
            <xdr:cNvSpPr>
              <a:spLocks noTextEdit="1"/>
            </xdr:cNvSpPr>
          </xdr:nvSpPr>
          <xdr:spPr>
            <a:xfrm>
              <a:off x="1611406" y="2873936"/>
              <a:ext cx="1365623" cy="1818341"/>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xdr:from>
      <xdr:col>4</xdr:col>
      <xdr:colOff>96931</xdr:colOff>
      <xdr:row>18</xdr:row>
      <xdr:rowOff>10272</xdr:rowOff>
    </xdr:from>
    <xdr:to>
      <xdr:col>10</xdr:col>
      <xdr:colOff>150906</xdr:colOff>
      <xdr:row>29</xdr:row>
      <xdr:rowOff>57897</xdr:rowOff>
    </xdr:to>
    <xdr:graphicFrame macro="">
      <xdr:nvGraphicFramePr>
        <xdr:cNvPr id="8" name="图表 7">
          <a:extLst>
            <a:ext uri="{FF2B5EF4-FFF2-40B4-BE49-F238E27FC236}">
              <a16:creationId xmlns:a16="http://schemas.microsoft.com/office/drawing/2014/main" id="{B89E1658-D1CB-487E-A28E-25E2EBDFE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5</xdr:col>
      <xdr:colOff>304800</xdr:colOff>
      <xdr:row>3</xdr:row>
      <xdr:rowOff>55033</xdr:rowOff>
    </xdr:to>
    <mc:AlternateContent xmlns:mc="http://schemas.openxmlformats.org/markup-compatibility/2006">
      <mc:Choice xmlns:a14="http://schemas.microsoft.com/office/drawing/2010/main" Requires="a14">
        <xdr:graphicFrame macro="">
          <xdr:nvGraphicFramePr>
            <xdr:cNvPr id="10" name="处理人城市公司">
              <a:extLst>
                <a:ext uri="{FF2B5EF4-FFF2-40B4-BE49-F238E27FC236}">
                  <a16:creationId xmlns:a16="http://schemas.microsoft.com/office/drawing/2014/main" id="{BF792797-040B-2017-B4E9-5184F5A478C1}"/>
                </a:ext>
              </a:extLst>
            </xdr:cNvPr>
            <xdr:cNvGraphicFramePr/>
          </xdr:nvGraphicFramePr>
          <xdr:xfrm>
            <a:off x="0" y="0"/>
            <a:ext cx="0" cy="0"/>
          </xdr:xfrm>
          <a:graphic>
            <a:graphicData uri="http://schemas.microsoft.com/office/drawing/2010/slicer">
              <sle:slicer xmlns:sle="http://schemas.microsoft.com/office/drawing/2010/slicer" name="处理人城市公司"/>
            </a:graphicData>
          </a:graphic>
        </xdr:graphicFrame>
      </mc:Choice>
      <mc:Fallback>
        <xdr:sp macro="" textlink="">
          <xdr:nvSpPr>
            <xdr:cNvPr id="0" name=""/>
            <xdr:cNvSpPr>
              <a:spLocks noTextEdit="1"/>
            </xdr:cNvSpPr>
          </xdr:nvSpPr>
          <xdr:spPr>
            <a:xfrm>
              <a:off x="0" y="0"/>
              <a:ext cx="4106333" cy="639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xYUNFAN ZHANG 张云帆" refreshedDate="45852.613753356483" createdVersion="7" refreshedVersion="7" minRefreshableVersion="3" recordCount="14" xr:uid="{E3D48453-DE9F-4FBF-8B67-DE8505203BB7}">
  <cacheSource type="worksheet">
    <worksheetSource ref="A1:AC15" sheet="数据源"/>
  </cacheSource>
  <cacheFields count="29">
    <cacheField name="协同子单单号" numFmtId="0">
      <sharedItems/>
    </cacheField>
    <cacheField name="单号_主单" numFmtId="0">
      <sharedItems/>
    </cacheField>
    <cacheField name="工单状态" numFmtId="0">
      <sharedItems/>
    </cacheField>
    <cacheField name="部门" numFmtId="0">
      <sharedItems count="2">
        <s v="UO"/>
        <s v="SO"/>
      </sharedItems>
    </cacheField>
    <cacheField name="场景" numFmtId="0">
      <sharedItems count="7">
        <s v="购车服务"/>
        <s v="用户咨询"/>
        <s v="未知场景"/>
        <s v="外力导致"/>
        <s v="产品质量"/>
        <s v="维修问题"/>
        <s v="用户诉求"/>
      </sharedItems>
    </cacheField>
    <cacheField name="重启原因" numFmtId="0">
      <sharedItems/>
    </cacheField>
    <cacheField name="业务类型" numFmtId="0">
      <sharedItems count="3">
        <s v="吐槽"/>
        <s v="咨询"/>
        <s v="投诉"/>
      </sharedItems>
    </cacheField>
    <cacheField name="标签名称" numFmtId="0">
      <sharedItems/>
    </cacheField>
    <cacheField name="协同待办" numFmtId="0">
      <sharedItems longText="1"/>
    </cacheField>
    <cacheField name="问题描述_主单" numFmtId="0">
      <sharedItems longText="1"/>
    </cacheField>
    <cacheField name="创建人" numFmtId="0">
      <sharedItems/>
    </cacheField>
    <cacheField name="处理人" numFmtId="0">
      <sharedItems count="7">
        <s v="pascal.chen"/>
        <s v="xiaodong.wang5"/>
        <s v="yuxian.zhu"/>
        <s v="sheng.ju"/>
        <s v="junjie.huang"/>
        <s v="zhaocan.zhu"/>
        <s v="james.guan"/>
      </sharedItems>
    </cacheField>
    <cacheField name="处理组" numFmtId="0">
      <sharedItems count="6">
        <s v="(null)"/>
        <s v="佛山SO-NSC-顺德红岗"/>
        <s v="综合工单组"/>
        <s v="佛山SO-ASC-星悦"/>
        <s v="羊城小管家"/>
        <s v="广州SO-ASC白云京溪"/>
      </sharedItems>
    </cacheField>
    <cacheField name="处理人二级组织" numFmtId="0">
      <sharedItems/>
    </cacheField>
    <cacheField name="处理人三级组织" numFmtId="0">
      <sharedItems/>
    </cacheField>
    <cacheField name="处理人城市公司" numFmtId="0">
      <sharedItems count="3">
        <s v="佛山公司"/>
        <s v="(null)"/>
        <s v="广州公司"/>
      </sharedItems>
    </cacheField>
    <cacheField name="创建时间" numFmtId="0">
      <sharedItems/>
    </cacheField>
    <cacheField name="完成时间" numFmtId="0">
      <sharedItems/>
    </cacheField>
    <cacheField name="操作日志" numFmtId="0">
      <sharedItems longText="1"/>
    </cacheField>
    <cacheField name="工单处理时长(h)" numFmtId="0">
      <sharedItems/>
    </cacheField>
    <cacheField name="品牌_主单" numFmtId="0">
      <sharedItems/>
    </cacheField>
    <cacheField name="来源渠道_主单" numFmtId="0">
      <sharedItems/>
    </cacheField>
    <cacheField name="用户姓名_主单" numFmtId="0">
      <sharedItems/>
    </cacheField>
    <cacheField name="account_id_主单" numFmtId="0">
      <sharedItems/>
    </cacheField>
    <cacheField name="用户城市公司_主单" numFmtId="0">
      <sharedItems/>
    </cacheField>
    <cacheField name="车架号_主单" numFmtId="0">
      <sharedItems/>
    </cacheField>
    <cacheField name="用户身份_主单" numFmtId="0">
      <sharedItems/>
    </cacheField>
    <cacheField name="是否催单_主单" numFmtId="0">
      <sharedItems/>
    </cacheField>
    <cacheField name="赔付信息_主单" numFmtId="0">
      <sharedItems/>
    </cacheField>
  </cacheFields>
  <extLst>
    <ext xmlns:x14="http://schemas.microsoft.com/office/spreadsheetml/2009/9/main" uri="{725AE2AE-9491-48be-B2B4-4EB974FC3084}">
      <x14:pivotCacheDefinition pivotCacheId="1705560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XT-20250701SX73QTI32"/>
    <s v="TK-20250701B48IKS-SM"/>
    <s v="已完成"/>
    <x v="0"/>
    <x v="0"/>
    <s v="【工单重启】重启原因:无沟通内容"/>
    <x v="0"/>
    <s v="吐槽-购车服务-新车售前-销售政策"/>
    <s v="用户有跟我吐槽过问还有什么积分或者东西送我说自己私人诚意给了点积分但不多也告知政策24款提车没有补偿自己当时买24款的时候价格更贵同一年款在4月当下就是最便宜最优惠的"/>
    <s v="用户吐槽销售政策补偿问题群内已经婉拒了"/>
    <s v="keke.zhao1"/>
    <x v="0"/>
    <x v="0"/>
    <s v="区域运营，佛山公司"/>
    <s v="销售，佛山公司"/>
    <x v="0"/>
    <s v="2025-07-0113:54:16"/>
    <s v="2025-07-0310:34:41"/>
    <s v="[{&quot;nodeEvent&quot;:&quot;创建协同子单&quot;,&quot;nodeEventKey&quot;:&quot;CREATE&quot;,&quot;operate_by&quot;:&quot;keke.zhao1&quot;,&quot;operate_name&quot;:&quot;赵可可&quot;,&quot;operate_time&quot;:&quot;2025-07-0113:54:16&quot;},{&quot;nodeEvent&quot;:&quot;完成协同子单&quot;,&quot;nodeEventKey&quot;:&quot;COMPLETE&quot;,&quot;operate_by&quot;:&quot;pascal.chen&quot;,&quot;operate_name&quot;:&quot;陈柏潘&quot;,&quot;operate_time&quot;:&quot;2025-07-0217:36:21&quot;},{&quot;nodeEvent&quot;:&quot;子单重启&quot;,&quot;nodeEventKey&quot;:&quot;REOPEN&quot;,&quot;operate_by&quot;:&quot;hui.wu2&quot;,&quot;operate_name&quot;:&quot;吴慧&quot;,&quot;operate_time&quot;:&quot;2025-07-0218:26:59&quot;},{&quot;nodeEvent&quot;:&quot;将协同人修改为潘佳男(jalan.pan),陈柏潘(pascal.chen)&quot;,&quot;nodeEventKey&quot;:&quot;TRANSFER_COOPERATED_OPERATOR&quot;,&quot;operate_by&quot;:&quot;ava.li&quot;,&quot;operate_name&quot;:&quot;李诗华&quot;,&quot;operate_time&quot;:&quot;2025-07-0310:26:51&quot;},{&quot;nodeEvent&quot;:&quot;将协同待办修改为用户有跟我吐槽过问还有什么积分或者东西送我说自己私人诚意给了点积分但不多也告知政策24款提车没有补偿自己当时买24款的时候价格更贵同一年款在4月当下就是最便宜最优惠的&quot;,&quot;nodeEventKey&quot;:&quot;DESCRIPTION&quot;,&quot;operate_by&quot;:&quot;pascal.chen&quot;,&quot;operate_name&quot;:&quot;陈柏潘&quot;,&quot;operate_time&quot;:&quot;2025-07-0310:34:16&quot;},{&quot;nodeEvent&quot;:&quot;完成协同子单&quot;,&quot;nodeEventKey&quot;:&quot;COMPLETE&quot;,&quot;operate_by&quot;:&quot;pascal.chen&quot;,&quot;operate_name&quot;:&quot;陈柏潘&quot;,&quot;operate_time&quot;:&quot;2025-07-0310:34:41&quot;}]"/>
    <s v="44.67361111"/>
    <s v="nio"/>
    <s v="专属服务群"/>
    <s v="冯浩然"/>
    <s v="65669899"/>
    <s v="佛山公司"/>
    <s v="HJNNBDLH2SB652938"/>
    <s v="正式车主"/>
    <s v="否"/>
    <s v="(null)"/>
  </r>
  <r>
    <s v="XT-202507120U1NQ1K7G"/>
    <s v="TK-20250711YXYF_Q22-"/>
    <s v="处理中"/>
    <x v="1"/>
    <x v="1"/>
    <s v="用户进线催促尽量处理车辆问题，之前维修进度都有人同步，现在都没人联系的，要求尽快处理，请协助"/>
    <x v="1"/>
    <s v="咨询-售后服务-维保服务-维保进度"/>
    <s v="Case详情：用户进行咨询车辆维修情况，什么时候可以送车，并且询问维修管家，一直不回复_x000a__x000a_用户姓名：刘鹏_x000a_手机号码：13450543408_x000a_品牌：蔚来_x000a_车牌号：无_x000a_车型：2023款EC6·Lavender紫_x000a_VIN码：LJ1E6A2U2PG068114_x000a__x000a__x000a_用户诉求：要求投诉和今晚送车给他"/>
    <s v="Case详情：用户进行咨询车辆维修情况，什么时候可以送车，并且询问维修管家，一直不回复_x000a__x000a_用户姓名：刘鹏_x000a_手机号码：13450543408_x000a_品牌：蔚来_x000a_车牌号：无_x000a_车型：2023款EC6·Lavender紫_x000a_VIN码：LJ1E6A2U2PG068114_x000a__x000a__x000a_用户诉求：要求投诉和今晚送车给他"/>
    <s v="jiemin.li"/>
    <x v="1"/>
    <x v="1"/>
    <s v="(null)"/>
    <s v="服务运营，佛山公司"/>
    <x v="0"/>
    <s v="2025-07-1218:38:43"/>
    <s v="(null)"/>
    <s v="[{&quot;nodeEvent&quot;:&quot;创建协同子单&quot;,&quot;nodeEventKey&quot;:&quot;CREATE&quot;,&quot;operate_by&quot;:&quot;jiemin.li&quot;,&quot;operate_name&quot;:&quot;李杰民&quot;,&quot;operate_time&quot;:&quot;2025-07-1218:38:43&quot;},{&quot;nodeEvent&quot;:&quot;将需求标签修改为咨询/售后服务/维保服务/维保进度&quot;,&quot;nodeEventKey&quot;:&quot;TAG&quot;,&quot;operate_by&quot;:&quot;xiaodong.wang5&quot;,&quot;operate_name&quot;:&quot;王晓东&quot;,&quot;operate_time&quot;:&quot;2025-07-1219:08:11&quot;},{&quot;nodeEvent&quot;:&quot;完成协同子单&quot;,&quot;nodeEventKey&quot;:&quot;COMPLETE&quot;,&quot;operate_by&quot;:&quot;xiaodong.wang5&quot;,&quot;operate_name&quot;:&quot;王晓东&quot;,&quot;operate_time&quot;:&quot;2025-07-1219:08:17&quot;},{&quot;nodeEvent&quot;:&quot;子单重启&quot;,&quot;nodeEventKey&quot;:&quot;REOPEN&quot;,&quot;operate_by&quot;:&quot;changzan.guo&quot;,&quot;operate_name&quot;:&quot;郭常赞&quot;,&quot;operate_time&quot;:&quot;2025-07-1219:24:44&quot;}]"/>
    <s v="37.35472222"/>
    <s v="nio"/>
    <s v="专属服务群"/>
    <s v="刘鹏"/>
    <s v="427507355"/>
    <s v="佛山公司"/>
    <s v="LJ1E6A2U2PG068114"/>
    <s v="正式车主"/>
    <s v="(null)"/>
    <s v="(null)"/>
  </r>
  <r>
    <s v="XT-20250708L37QY9KNG"/>
    <s v="TK-20250708Q724569OY"/>
    <s v="处理中"/>
    <x v="1"/>
    <x v="2"/>
    <s v="-"/>
    <x v="0"/>
    <s v="吐槽-车辆-冷却系统"/>
    <s v="用户反映其车辆在经历电机异响问题后，再次出现冷却系统异常，且异常提示持续弹窗，总计185次，认为这是严重的质量问题，要求补偿损失。"/>
    <s v="用户反映其车辆在经历电机异响问题后，再次出现冷却系统异常，且异常提示持续弹窗，总计185次，认为这是严重的质量问题，要求补偿损失。"/>
    <s v="wenxiao.pang"/>
    <x v="2"/>
    <x v="1"/>
    <s v="(null)"/>
    <s v="服务运营，佛山公司"/>
    <x v="0"/>
    <s v="2025-07-0811:33:43"/>
    <s v="(null)"/>
    <s v="[{&quot;nodeEvent&quot;:&quot;创建协同子单&quot;,&quot;nodeEventKey&quot;:&quot;CREATE&quot;,&quot;operate_by&quot;:&quot;wenxiao.pang&quot;,&quot;operate_name&quot;:&quot;庞文晓&quot;,&quot;operate_time&quot;:&quot;2025-07-0811:33:43&quot;},{&quot;nodeEvent&quot;:&quot;认领协同子单&quot;,&quot;nodeEventKey&quot;:&quot;CLAIM&quot;,&quot;operate_by&quot;:&quot;yuxian.zhu&quot;,&quot;operate_name&quot;:&quot;朱雨娴&quot;,&quot;operate_time&quot;:&quot;2025-07-0814:44:57&quot;},{&quot;nodeEvent&quot;:&quot;完成协同子单&quot;,&quot;nodeEventKey&quot;:&quot;COMPLETE&quot;,&quot;operate_by&quot;:&quot;yuxian.zhu&quot;,&quot;operate_name&quot;:&quot;朱雨娴&quot;,&quot;operate_time&quot;:&quot;2025-07-0913:27:57&quot;},{&quot;nodeEvent&quot;:&quot;子单重启&quot;,&quot;nodeEventKey&quot;:&quot;REOPEN&quot;,&quot;operate_by&quot;:&quot;wenxiao.pang&quot;,&quot;operate_name&quot;:&quot;庞文晓&quot;,&quot;operate_time&quot;:&quot;2025-07-1020:09:34&quot;},{&quot;nodeEvent&quot;:&quot;认领协同子单&quot;,&quot;nodeEventKey&quot;:&quot;CLAIM&quot;,&quot;operate_by&quot;:&quot;yuxian.zhu&quot;,&quot;operate_name&quot;:&quot;朱雨娴&quot;,&quot;operate_time&quot;:&quot;2025-07-1109:08:35&quot;},{&quot;nodeEvent&quot;:&quot;工单处理超过48小时，请及时关注&quot;,&quot;nodeEventKey&quot;:&quot;UPGRADE&quot;,&quot;operate_by&quot;:&quot;system&quot;,&quot;operate_name&quot;:&quot;系统&quot;,&quot;operate_time&quot;:&quot;2025-07-1109:10:00&quot;}]"/>
    <s v="140.43805556"/>
    <s v="nio"/>
    <s v="专属服务群"/>
    <s v="梁振峰"/>
    <s v="346325654"/>
    <s v="广州公司"/>
    <s v="HJNNADMG0RA082298"/>
    <s v="正式车主"/>
    <s v="(null)"/>
    <s v="(null)"/>
  </r>
  <r>
    <s v="XT-20250703631HZD_42"/>
    <s v="TK-202507032TUEZ588_"/>
    <s v="已完成"/>
    <x v="1"/>
    <x v="3"/>
    <s v="【工单重启】重启原因:再次进线"/>
    <x v="2"/>
    <s v="投诉-售后服务-维保服务-维保方案"/>
    <s v="15015631383用户进线反馈自己刚提的新车才2个月，现在发现车前保险杠那里没有卡好，到了售后之后师傅告知说前杠的里面已经有严重的磨损了，用户表示没有发生过碰撞，认为是车辆交付的时候就存在这个问题了，表示不满_x000a_用户诉求：要求给到一个满意的答复_x000a_坐席已做：帮其核实反馈"/>
    <s v="15015631383用户进线反馈自己刚提的新车才2个月，现在发现车前保险杠那里没有卡好，到了售后之后师傅告知说前杠的里面已经有严重的磨损了，用户表示没有发生过碰撞，认为是车辆交付的时候就存在这个问题了，表示不满_x000a_用户诉求：要求给到一个满意的答复_x000a_坐席已做：帮其核实反馈"/>
    <s v="xue.yuan"/>
    <x v="2"/>
    <x v="1"/>
    <s v="(null)"/>
    <s v="服务运营，佛山公司"/>
    <x v="0"/>
    <s v="2025-07-0310:31:41"/>
    <s v="2025-07-1210:05:48"/>
    <s v="[{&quot;nodeEvent&quot;:&quot;创建协同子单&quot;,&quot;nodeEventKey&quot;:&quot;CREATE&quot;,&quot;operate_by&quot;:&quot;xue.yuan&quot;,&quot;operate_name&quot;:&quot;袁雪&quot;,&quot;operate_time&quot;:&quot;2025-07-0310:31:41&quot;},{&quot;nodeEvent&quot;:&quot;将协同人修改为二线客诉组,佛山蔚来体验官,佛山SO-ASC-星悦,欧振豪(zhenhao.ou)&quot;,&quot;nodeEventKey&quot;:&quot;TRANSFER_COOPERATED_OPERATOR&quot;,&quot;operate_by&quot;:&quot;xue.yuan&quot;,&quot;operate_name&quot;:&quot;袁雪&quot;,&quot;operate_time&quot;:&quot;2025-07-0310:31:53&quot;},{&quot;nodeEvent&quot;:&quot;将协同人修改为二线客诉组,佛山蔚来体验官,佛山SO-ASC-星悦,佛山蔚来现场交付,欧振豪(zhenhao.ou)&quot;,&quot;nodeEventKey&quot;:&quot;TRANSFER_COOPERATED_OPERATOR&quot;,&quot;operate_by&quot;:&quot;xue.yuan&quot;,&quot;operate_name&quot;:&quot;袁雪&quot;,&quot;operate_time&quot;:&quot;2025-07-0310:32:22&quot;},{&quot;nodeEvent&quot;:&quot;转派协同子单至&quot;,&quot;nodeEventKey&quot;:&quot;TRANSFER_TO&quot;,&quot;operate_by&quot;:&quot;yuxian.zhu&quot;,&quot;operate_name&quot;:&quot;朱雨娴&quot;,&quot;operate_time&quot;:&quot;2025-07-0311:17:37&quot;},{&quot;nodeEvent&quot;:&quot;认领协同子单&quot;,&quot;nodeEventKey&quot;:&quot;CLAIM&quot;,&quot;operate_by&quot;:&quot;yuxian.zhu&quot;,&quot;operate_name&quot;:&quot;朱雨娴&quot;,&quot;operate_time&quot;:&quot;2025-07-0311:17:57&quot;},{&quot;nodeEvent&quot;:&quot;设置了沟通结论&quot;,&quot;nodeEventKey&quot;:&quot;SET_SOLUTION&quot;,&quot;operate_by&quot;:&quot;yuxian.zhu&quot;,&quot;operate_name&quot;:&quot;朱雨娴&quot;,&quot;operate_time&quot;:&quot;2025-07-0311:18:13&quot;},{&quot;nodeEvent&quot;:&quot;完成协同子单&quot;,&quot;nodeEventKey&quot;:&quot;COMPLETE&quot;,&quot;operate_by&quot;:&quot;yuxian.zhu&quot;,&quot;operate_name&quot;:&quot;朱雨娴&quot;,&quot;operate_time&quot;:&quot;2025-07-0311:18:14&quot;},{&quot;nodeEvent&quot;:&quot;子单重启&quot;,&quot;nodeEventKey&quot;:&quot;REOPEN&quot;,&quot;operate_by&quot;:&quot;mikey.hu&quot;,&quot;operate_name&quot;:&quot;胡成超&quot;,&quot;operate_time&quot;:&quot;2025-07-0318:40:02&quot;},{&quot;nodeEvent&quot;:&quot;将协同人修改为李诗华(ava.li),二线客诉组,佛山蔚来体验官,佛山SO-ASC-星悦,佛山蔚来现场交付,欧振豪(zhenhao.ou)&quot;,&quot;nodeEventKey&quot;:&quot;TRANSFER_COOPERATED_OPERATOR&quot;,&quot;operate_by&quot;:&quot;yuxian.zhu&quot;,&quot;operate_name&quot;:&quot;朱雨娴&quot;,&quot;operate_time&quot;:&quot;2025-07-0411:43:08&quot;},{&quot;nodeEvent&quot;:&quot;完成协同子单&quot;,&quot;nodeEventKey&quot;:&quot;COMPLETE&quot;,&quot;operate_by&quot;:&quot;yuxian.zhu&quot;,&quot;operate_name&quot;:&quot;朱雨娴&quot;,&quot;operate_time&quot;:&quot;2025-07-0415:18:36&quot;},{&quot;nodeEvent&quot;:&quot;子单重启&quot;,&quot;nodeEventKey&quot;:&quot;REOPEN&quot;,&quot;operate_by&quot;:&quot;jack.jiang1&quot;,&quot;operate_name&quot;:&quot;姜佳琦&quot;,&quot;operate_time&quot;:&quot;2025-07-1115:17:51&quot;},{&quot;nodeEvent&quot;:&quot;超时原因:已沟通解决方案，但无法达成一致&quot;,&quot;nodeEventKey&quot;:&quot;TIMEOUT_HANDS_UP&quot;,&quot;operate_by&quot;:&quot;yuxian.zhu&quot;,&quot;operate_name&quot;:&quot;朱雨娴&quot;,&quot;operate_time&quot;:&quot;2025-07-1117:36:54&quot;},{&quot;nodeEvent&quot;:&quot;完成协同子单&quot;,&quot;nodeEventKey&quot;:&quot;COMPLETE&quot;,&quot;operate_by&quot;:&quot;yuxian.zhu&quot;,&quot;operate_name&quot;:&quot;朱雨娴&quot;,&quot;operate_time&quot;:&quot;2025-07-1210:05:48&quot;}]"/>
    <s v="215.56861111"/>
    <s v="nio"/>
    <s v="400热线"/>
    <s v="叶燕敏"/>
    <s v="217240428"/>
    <s v="佛山公司"/>
    <s v="HJNNADMG7SA019365"/>
    <s v="正式车主"/>
    <s v="否"/>
    <s v="(null)"/>
  </r>
  <r>
    <s v="XT-20250707YFRNF_MT-"/>
    <s v="TK-20250706UMEO1NH1W"/>
    <s v="已完成"/>
    <x v="1"/>
    <x v="4"/>
    <s v="【工单重启】重启原因:用户需要答复为什么开着开着马上断电问题，不然12315投诉"/>
    <x v="2"/>
    <s v="投诉-专车打车代步车-代步车-代步车车况"/>
    <s v="845268498524424505_x000a_2025-07-0517:00_x000a_佛山顺德_x000a__x000a_代步车问题投诉_x000a_1：代步车车况很糟糕，第一辆给的时候，又脏又臭，给调换第2辆时间晚上7:45分说出发送过来差不多10点多才送到_x000a_2：代步车换电问题：担心像中午那台只有百分之几的电所以打电话问，专员当时表示去佛山会安排换电，结果接车后发现续航只有200多_x000a_3：代步车脏污问题：当时表示会安排洗车，结果接到车后，车里面有一条湿的大毛巾，还有脏兮兮的白色纸巾，还有一股吃过麦当劳的嗅味，车依然是脏的_x000a_用户问专员：表示下雨了，当时在大良那边冲洗过（电不是满的，车也是脏的）_x000a_4：专员态度不好：师傅态度还不是那么友好的叫我还车记得换满电不要影响下一位，我忘记回他一句今天中午只有百分之几的电还是我自己去红岗换的_x000a_5：重点情况-毫无征兆的情况下突然断电，连打闪双的时间都没有，开就不超40的速度后面还有一台白色车差点追尾，如果在高速不敢想像，需要一个合理的解释不然就投诉_x000a__x000a_需求：_x000a_第一：车按质量修好，尽快交车_x000a_第二：要知道今天中午的车为什么突然断电_x000a_第三：怎么保证车主的安全，今天突然断电停在路中间还挡住其他车出车_x000a_"/>
    <s v="845268498524424505_x000a_2025-07-0517:00_x000a_佛山顺德_x000a__x000a_代步车问题投诉_x000a_1：代步车车况很糟糕，第一辆给的时候，又脏又臭，给调换第2辆时间晚上7:45分说出发送过来差不多10点多才送到_x000a_2：代步车换电问题：担心像中午那台只有百分之几的电所以打电话问，专员当时表示去佛山会安排换电，结果接车后发现续航只有200多_x000a_3：代步车脏污问题：当时表示会安排洗车，结果接到车后，车里面有一条湿的大毛巾，还有脏兮兮的白色纸巾，还有一股吃过麦当劳的嗅味，车依然是脏的_x000a_用户问专员：表示下雨了，当时在大良那边冲洗过（电不是满的，车也是脏的）_x000a_4：专员态度不好：师傅态度还不是那么友好的叫我还车记得换满电不要影响下一位，我忘记回他一句今天中午只有百分之几的电还是我自己去红岗换的_x000a_5：重点情况-毫无征兆的情况下突然断电，连打闪双的时间都没有，开就不超40的速度后面还有一台白色车差点追尾，如果在高速不敢想像，需要一个合理的解释不然就投诉_x000a__x000a_需求：_x000a_第一：车按质量修好，尽快交车_x000a_第二：要知道今天中午的车为什么突然断电_x000a_第三：怎么保证车主的安全，今天突然断电停在路中间还挡住其他车出车_x000a_"/>
    <s v="zule.chen"/>
    <x v="2"/>
    <x v="1"/>
    <s v="(null)"/>
    <s v="服务运营，佛山公司"/>
    <x v="0"/>
    <s v="2025-07-0708:43:32"/>
    <s v="2025-07-0919:09:57"/>
    <s v="[{&quot;nodeEvent&quot;:&quot;创建协同子单&quot;,&quot;nodeEventKey&quot;:&quot;CREATE&quot;,&quot;operate_by&quot;:&quot;zule.chen&quot;,&quot;operate_name&quot;:&quot;陈祖乐&quot;,&quot;operate_time&quot;:&quot;2025-07-0708:43:32&quot;},{&quot;nodeEvent&quot;:&quot;将协同人修改为梁敏怡(minyi.liang),佛山SO-NSC-顺德红岗,佛山蔚来体验官,羊城小管家,郑泽峰(zefeng.zheng1)&quot;,&quot;nodeEventKey&quot;:&quot;TRANSFER_COOPERATED_OPERATOR&quot;,&quot;operate_by&quot;:&quot;zule.chen&quot;,&quot;operate_name&quot;:&quot;陈祖乐&quot;,&quot;operate_time&quot;:&quot;2025-07-0708:43:55&quot;},{&quot;nodeEvent&quot;:&quot;将协同人修改为刘志强(lewis.liu1),梁敏怡(minyi.liang),佛山SO-NSC-顺德红岗,佛山蔚来体验官,羊城小管家,郑泽峰(zefeng.zheng1)&quot;,&quot;nodeEventKey&quot;:&quot;TRANSFER_COOPERATED_OPERATOR&quot;,&quot;operate_by&quot;:&quot;yuxian.zhu&quot;,&quot;operate_name&quot;:&quot;朱雨娴&quot;,&quot;operate_time&quot;:&quot;2025-07-0709:15:56&quot;},{&quot;nodeEvent&quot;:&quot;认领协同子单&quot;,&quot;nodeEventKey&quot;:&quot;CLAIM&quot;,&quot;operate_by&quot;:&quot;yuxian.zhu&quot;,&quot;operate_name&quot;:&quot;朱雨娴&quot;,&quot;operate_time&quot;:&quot;2025-07-0709:16:02&quot;},{&quot;nodeEvent&quot;:&quot;设置了沟通结论&quot;,&quot;nodeEventKey&quot;:&quot;SET_SOLUTION&quot;,&quot;operate_by&quot;:&quot;yuxian.zhu&quot;,&quot;operate_name&quot;:&quot;朱雨娴&quot;,&quot;operate_time&quot;:&quot;2025-07-0718:51:18&quot;},{&quot;nodeEvent&quot;:&quot;完成协同子单&quot;,&quot;nodeEventKey&quot;:&quot;COMPLETE&quot;,&quot;operate_by&quot;:&quot;yuxian.zhu&quot;,&quot;operate_name&quot;:&quot;朱雨娴&quot;,&quot;operate_time&quot;:&quot;2025-07-0718:51:21&quot;},{&quot;nodeEvent&quot;:&quot;子单重启&quot;,&quot;nodeEventKey&quot;:&quot;REOPEN&quot;,&quot;operate_by&quot;:&quot;zule.chen&quot;,&quot;operate_name&quot;:&quot;陈祖乐&quot;,&quot;operate_time&quot;:&quot;2025-07-0813:05:34&quot;},{&quot;nodeEvent&quot;:&quot;转派协同子单至&quot;,&quot;nodeEventKey&quot;:&quot;TRANSFER_TO&quot;,&quot;operate_by&quot;:&quot;zule.chen&quot;,&quot;operate_name&quot;:&quot;陈祖乐&quot;,&quot;operate_time&quot;:&quot;2025-07-0818:43:24&quot;},{&quot;nodeEvent&quot;:&quot;认领协同子单&quot;,&quot;nodeEventKey&quot;:&quot;CLAIM&quot;,&quot;operate_by&quot;:&quot;yuxian.zhu&quot;,&quot;operate_name&quot;:&quot;朱雨娴&quot;,&quot;operate_time&quot;:&quot;2025-07-0818:49:15&quot;},{&quot;nodeEvent&quot;:&quot;工单处理超过48小时，请及时关注&quot;,&quot;nodeEventKey&quot;:&quot;UPGRADE&quot;,&quot;operate_by&quot;:&quot;system&quot;,&quot;operate_name&quot;:&quot;系统&quot;,&quot;operate_time&quot;:&quot;2025-07-0908:50:00&quot;},{&quot;nodeEvent&quot;:&quot;超时原因:沟通确认方案中&quot;,&quot;nodeEventKey&quot;:&quot;TIMEOUT_HANDS_UP&quot;,&quot;operate_by&quot;:&quot;yuxian.zhu&quot;,&quot;operate_name&quot;:&quot;朱雨娴&quot;,&quot;operate_time&quot;:&quot;2025-07-0910:48:19&quot;},{&quot;nodeEvent&quot;:&quot;完成协同子单&quot;,&quot;nodeEventKey&quot;:&quot;COMPLETE&quot;,&quot;operate_by&quot;:&quot;yuxian.zhu&quot;,&quot;operate_name&quot;:&quot;朱雨娴&quot;,&quot;operate_time&quot;:&quot;2025-07-0919:09:57&quot;}]"/>
    <s v="58.44027778"/>
    <s v="nio"/>
    <s v="专属服务群"/>
    <s v="蔡曼妮"/>
    <s v="413234325"/>
    <s v="佛山公司"/>
    <s v="LJ1E6A3U4L7701558"/>
    <s v="共同车主"/>
    <s v="否"/>
    <s v="(null)"/>
  </r>
  <r>
    <s v="XT-20250708KVTZ0MFG5"/>
    <s v="TK-20250708X4RN4WWKK"/>
    <s v="已完成"/>
    <x v="0"/>
    <x v="0"/>
    <s v="索要积分"/>
    <x v="1"/>
    <s v="咨询-购车服务-新车售前-销售政策"/>
    <s v="如用户表示自己是24款车型，了解到25款有补偿，自己也需要"/>
    <s v="如用户表示自己是24款车型，了解到25款有补偿，自己也需要"/>
    <s v="chunyang.chen"/>
    <x v="3"/>
    <x v="2"/>
    <s v="服务调度运营部"/>
    <s v="线上服务调度团队"/>
    <x v="1"/>
    <s v="2025-07-0816:02:39"/>
    <s v="2025-07-0916:49:02"/>
    <s v="[{&quot;nodeEvent&quot;:&quot;创建协同子单&quot;,&quot;nodeEventKey&quot;:&quot;CREATE&quot;,&quot;operate_by&quot;:&quot;chunyang.chen&quot;,&quot;operate_name&quot;:&quot;陈春阳&quot;,&quot;operate_time&quot;:&quot;2025-07-0816:02:39&quot;},{&quot;nodeEvent&quot;:&quot;设置了沟通结论&quot;,&quot;nodeEventKey&quot;:&quot;SET_SOLUTION&quot;,&quot;operate_by&quot;:&quot;jason.hu5&quot;,&quot;operate_name&quot;:&quot;胡骏洲&quot;,&quot;operate_time&quot;:&quot;2025-07-0816:03:26&quot;},{&quot;nodeEvent&quot;:&quot;完成协同子单&quot;,&quot;nodeEventKey&quot;:&quot;COMPLETE&quot;,&quot;operate_by&quot;:&quot;jason.hu5&quot;,&quot;operate_name&quot;:&quot;胡骏洲&quot;,&quot;operate_time&quot;:&quot;2025-07-0816:07:43&quot;},{&quot;nodeEvent&quot;:&quot;子单重启&quot;,&quot;nodeEventKey&quot;:&quot;REOPEN&quot;,&quot;operate_by&quot;:&quot;chunyang.chen&quot;,&quot;operate_name&quot;:&quot;陈春阳&quot;,&quot;operate_time&quot;:&quot;2025-07-0816:41:07&quot;},{&quot;nodeEvent&quot;:&quot;将协同人修改为胡骏洲(jason.hu5),潘晓雯(xiaowen.pan)&quot;,&quot;nodeEventKey&quot;:&quot;TRANSFER_COOPERATED_OPERATOR&quot;,&quot;operate_by&quot;:&quot;chunyang.chen&quot;,&quot;operate_name&quot;:&quot;陈春阳&quot;,&quot;operate_time&quot;:&quot;2025-07-0820:57:41&quot;},{&quot;nodeEvent&quot;:&quot;取消设置沟通结论&quot;,&quot;nodeEventKey&quot;:&quot;CANCEL_SOLUTION&quot;,&quot;operate_by&quot;:&quot;sheng.ju&quot;,&quot;operate_name&quot;:&quot;居胜&quot;,&quot;operate_time&quot;:&quot;2025-07-0916:48:45&quot;},{&quot;nodeEvent&quot;:&quot;设置了沟通结论&quot;,&quot;nodeEventKey&quot;:&quot;SET_SOLUTION&quot;,&quot;operate_by&quot;:&quot;sheng.ju&quot;,&quot;operate_name&quot;:&quot;居胜&quot;,&quot;operate_time&quot;:&quot;2025-07-0916:48:45&quot;},{&quot;nodeEvent&quot;:&quot;转派协同子单至&quot;,&quot;nodeEventKey&quot;:&quot;TRANSFER_TO&quot;,&quot;operate_by&quot;:&quot;sheng.ju&quot;,&quot;operate_name&quot;:&quot;居胜&quot;,&quot;operate_time&quot;:&quot;2025-07-0916:48:55&quot;},{&quot;nodeEvent&quot;:&quot;完成协同子单&quot;,&quot;nodeEventKey&quot;:&quot;COMPLETE&quot;,&quot;operate_by&quot;:&quot;sheng.ju&quot;,&quot;operate_name&quot;:&quot;居胜&quot;,&quot;operate_time&quot;:&quot;2025-07-0916:49:02&quot;}]"/>
    <s v="24.77305556"/>
    <s v="nio"/>
    <s v="专属服务群"/>
    <s v="邓超群"/>
    <s v="343874426"/>
    <s v="佛山公司"/>
    <s v="HJNNADMGXRA035263"/>
    <s v="正式车主"/>
    <s v="否"/>
    <s v="(null)"/>
  </r>
  <r>
    <s v="XT-20250705GAFZTV5A7"/>
    <s v="TK-20250705H1-INCV4A"/>
    <s v="待处理"/>
    <x v="1"/>
    <x v="3"/>
    <s v="【工单重启】重启原因:用户再次进线投诉陆应钦"/>
    <x v="2"/>
    <s v="投诉-事故-报案"/>
    <s v="停放受损被砸了要求协助代办处理已婉拒已自行联系保司指引需要拖车可以优先联系保司如果不能安排我方安排"/>
    <s v="停放受损被砸了要求协助代办处理已婉拒已自行联系保司指引需要拖车可以优先联系保司如果不能安排我方安排"/>
    <s v="hao.li19"/>
    <x v="1"/>
    <x v="1"/>
    <s v="(null)"/>
    <s v="服务运营，佛山公司"/>
    <x v="0"/>
    <s v="2025-07-0508:15:06"/>
    <s v="(null)"/>
    <s v="[{&quot;nodeEvent&quot;:&quot;创建协同子单&quot;,&quot;nodeEventKey&quot;:&quot;CREATE&quot;,&quot;operate_by&quot;:&quot;hao.li19&quot;,&quot;operate_name&quot;:&quot;李浩&quot;,&quot;operate_time&quot;:&quot;2025-07-0508:15:06&quot;},{&quot;nodeEvent&quot;:&quot;将协同人修改为佛山SO-NSC-顺德红岗,二线客诉组,佛山蔚来体验官,陆应钦(yingqin.lu),阮致豪(zhihao.ruan)&quot;,&quot;nodeEventKey&quot;:&quot;TRANSFER_COOPERATED_OPERATOR&quot;,&quot;operate_by&quot;:&quot;yuxian.zhu&quot;,&quot;operate_name&quot;:&quot;朱雨娴&quot;,&quot;operate_time&quot;:&quot;2025-07-0509:54:30&quot;},{&quot;nodeEvent&quot;:&quot;转派协同子单至&quot;,&quot;nodeEventKey&quot;:&quot;TRANSFER_TO&quot;,&quot;operate_by&quot;:&quot;yuxian.zhu&quot;,&quot;operate_name&quot;:&quot;朱雨娴&quot;,&quot;operate_time&quot;:&quot;2025-07-0600:09:11&quot;},{&quot;nodeEvent&quot;:&quot;认领协同子单&quot;,&quot;nodeEventKey&quot;:&quot;CLAIM&quot;,&quot;operate_by&quot;:&quot;yuxian.zhu&quot;,&quot;operate_name&quot;:&quot;朱雨娴&quot;,&quot;operate_time&quot;:&quot;2025-07-0600:09:13&quot;},{&quot;nodeEvent&quot;:&quot;工单处理超过48小时，请及时关注&quot;,&quot;nodeEventKey&quot;:&quot;UPGRADE&quot;,&quot;operate_by&quot;:&quot;system&quot;,&quot;operate_name&quot;:&quot;系统&quot;,&quot;operate_time&quot;:&quot;2025-07-0708:20:00&quot;},{&quot;nodeEvent&quot;:&quot;超时原因:沟通确认方案中&quot;,&quot;nodeEventKey&quot;:&quot;TIMEOUT_HANDS_UP&quot;,&quot;operate_by&quot;:&quot;yuxian.zhu&quot;,&quot;operate_name&quot;:&quot;朱雨娴&quot;,&quot;operate_time&quot;:&quot;2025-07-0709:49:57&quot;},{&quot;nodeEvent&quot;:&quot;转派协同子单至&quot;,&quot;nodeEventKey&quot;:&quot;TRANSFER_TO&quot;,&quot;operate_by&quot;:&quot;ava.li&quot;,&quot;operate_name&quot;:&quot;李诗华&quot;,&quot;operate_time&quot;:&quot;2025-07-1010:15:25&quot;},{&quot;nodeEvent&quot;:&quot;设置了沟通结论&quot;,&quot;nodeEventKey&quot;:&quot;SET_SOLUTION&quot;,&quot;operate_by&quot;:&quot;ava.li&quot;,&quot;operate_name&quot;:&quot;李诗华&quot;,&quot;operate_time&quot;:&quot;2025-07-1010:16:00&quot;},{&quot;nodeEvent&quot;:&quot;完成协同子单&quot;,&quot;nodeEventKey&quot;:&quot;COMPLETE&quot;,&quot;operate_by&quot;:&quot;ava.li&quot;,&quot;operate_name&quot;:&quot;李诗华&quot;,&quot;operate_time&quot;:&quot;2025-07-1010:16:04&quot;},{&quot;nodeEvent&quot;:&quot;子单重启&quot;,&quot;nodeEventKey&quot;:&quot;REOPEN&quot;,&quot;operate_by&quot;:&quot;zule.chen&quot;,&quot;operate_name&quot;:&quot;陈祖乐&quot;,&quot;operate_time&quot;:&quot;2025-07-1318:21:11&quot;}]"/>
    <s v="215.74833333"/>
    <s v="nio"/>
    <s v="400热线"/>
    <s v="邓海斌"/>
    <s v="231020407"/>
    <s v="佛山公司"/>
    <s v="LJ1EFAUU5RG506138"/>
    <s v="正式车主"/>
    <s v="(null)"/>
    <s v="(null)"/>
  </r>
  <r>
    <s v="XT-202507057X0LCBVSS"/>
    <s v="TK-202507050YE9LGZO5"/>
    <s v="已完成"/>
    <x v="1"/>
    <x v="4"/>
    <s v="【工单重启】重启原因:用户今天反馈故障再现，辛苦对接用户沟通处理"/>
    <x v="0"/>
    <s v="吐槽-售后服务-维保服务-维保质量"/>
    <s v="用户反馈车辆自动切换账户的问题，该问题在之前的检查中未能得到解决。"/>
    <s v="用户反馈车辆自动切换账户的问题，该问题在之前的检查中未能得到解决。"/>
    <s v="wenxiao.pang"/>
    <x v="2"/>
    <x v="3"/>
    <s v="(null)"/>
    <s v="服务运营，佛山公司"/>
    <x v="0"/>
    <s v="2025-07-0516:35:53"/>
    <s v="2025-07-0818:50:09"/>
    <s v="[{&quot;nodeEvent&quot;:&quot;创建协同子单&quot;,&quot;nodeEventKey&quot;:&quot;CREATE&quot;,&quot;operate_by&quot;:&quot;wenxiao.pang&quot;,&quot;operate_name&quot;:&quot;庞文晓&quot;,&quot;operate_time&quot;:&quot;2025-07-0516:35:53&quot;},{&quot;nodeEvent&quot;:&quot;认领协同子单&quot;,&quot;nodeEventKey&quot;:&quot;CLAIM&quot;,&quot;operate_by&quot;:&quot;yuxian.zhu&quot;,&quot;operate_name&quot;:&quot;朱雨娴&quot;,&quot;operate_time&quot;:&quot;2025-07-0600:04:48&quot;},{&quot;nodeEvent&quot;:&quot;将协同人修改为佛山SO-ASC-星悦&quot;,&quot;nodeEventKey&quot;:&quot;TRANSFER_COOPERATED_OPERATOR&quot;,&quot;operate_by&quot;:&quot;wenxiao.pang&quot;,&quot;operate_name&quot;:&quot;庞文晓&quot;,&quot;operate_time&quot;:&quot;2025-07-0615:34:25&quot;},{&quot;nodeEvent&quot;:&quot;完成协同子单&quot;,&quot;nodeEventKey&quot;:&quot;COMPLETE&quot;,&quot;operate_by&quot;:&quot;yuxian.zhu&quot;,&quot;operate_name&quot;:&quot;朱雨娴&quot;,&quot;operate_time&quot;:&quot;2025-07-0711:21:35&quot;},{&quot;nodeEvent&quot;:&quot;子单重启&quot;,&quot;nodeEventKey&quot;:&quot;REOPEN&quot;,&quot;operate_by&quot;:&quot;wenxiao.pang&quot;,&quot;operate_name&quot;:&quot;庞文晓&quot;,&quot;operate_time&quot;:&quot;2025-07-0816:56:22&quot;},{&quot;nodeEvent&quot;:&quot;完成协同子单&quot;,&quot;nodeEventKey&quot;:&quot;COMPLETE&quot;,&quot;operate_by&quot;:&quot;yuxian.zhu&quot;,&quot;operate_name&quot;:&quot;朱雨娴&quot;,&quot;operate_time&quot;:&quot;2025-07-0818:50:09&quot;}]"/>
    <s v="74.23777778"/>
    <s v="nio"/>
    <s v="专属服务群"/>
    <s v="关信威"/>
    <s v="1120878767"/>
    <s v="佛山公司"/>
    <s v="LJ1E6A3U6L7710181"/>
    <s v="正式车主"/>
    <s v="否"/>
    <s v="(null)"/>
  </r>
  <r>
    <s v="XT-2025070219KO1J0U_"/>
    <s v="TK-20250702QV3LZXUI_"/>
    <s v="已完成"/>
    <x v="1"/>
    <x v="5"/>
    <s v="【工单重启】重启原因:用户继续吐槽"/>
    <x v="2"/>
    <s v="投诉-售后服务-维保服务-维保质量"/>
    <s v="问题描述:用户到达店内等待服务，询问车辆检查流程，并对车辆在轻微碰撞后需要更换前组摄像头的质量表示质疑，表达了不满并提出投诉意向。_x000a_沟通结论:服务人员已通知售后团队跟进用户到店接待和车辆检查情况，同时承诺反馈用户关于车辆质量的投诉，确保服务中心查看并处理用户的问题。"/>
    <s v="问题描述:用户到达店内等待服务，询问车辆检查流程，并对车辆在轻微碰撞后需要更换前组摄像头的质量表示质疑，表达了不满并提出投诉意向。_x000a_沟通结论:服务人员已通知售后团队跟进用户到店接待和车辆检查情况，同时承诺反馈用户关于车辆质量的投诉，确保服务中心查看并处理用户的问题。"/>
    <s v="junjie.huang"/>
    <x v="4"/>
    <x v="4"/>
    <s v="服务调度运营部"/>
    <s v="运营支持团队"/>
    <x v="1"/>
    <s v="2025-07-0215:22:49"/>
    <s v="2025-07-0415:46:25"/>
    <s v="[{&quot;nodeEvent&quot;:&quot;创建协同子单&quot;,&quot;nodeEventKey&quot;:&quot;CREATE&quot;,&quot;operate_by&quot;:&quot;junjie.huang&quot;,&quot;operate_name&quot;:&quot;黄俊杰&quot;,&quot;operate_time&quot;:&quot;2025-07-0215:22:49&quot;},{&quot;nodeEvent&quot;:&quot;设置了沟通结论&quot;,&quot;nodeEventKey&quot;:&quot;SET_SOLUTION&quot;,&quot;operate_by&quot;:&quot;yuxian.zhu&quot;,&quot;operate_name&quot;:&quot;朱雨娴&quot;,&quot;operate_time&quot;:&quot;2025-07-0312:15:03&quot;},{&quot;nodeEvent&quot;:&quot;完成协同子单&quot;,&quot;nodeEventKey&quot;:&quot;COMPLETE&quot;,&quot;operate_by&quot;:&quot;yuxian.zhu&quot;,&quot;operate_name&quot;:&quot;朱雨娴&quot;,&quot;operate_time&quot;:&quot;2025-07-0312:15:04&quot;},{&quot;nodeEvent&quot;:&quot;子单重启&quot;,&quot;nodeEventKey&quot;:&quot;REOPEN&quot;,&quot;operate_by&quot;:&quot;junjie.huang&quot;,&quot;operate_name&quot;:&quot;黄俊杰&quot;,&quot;operate_time&quot;:&quot;2025-07-0314:38:28&quot;},{&quot;nodeEvent&quot;:&quot;将协同人修改为佛山SO-NSC-顺德红岗,佛山蔚来体验官,朱雨娴(yuxian.zhu)&quot;,&quot;nodeEventKey&quot;:&quot;TRANSFER_COOPERATED_OPERATOR&quot;,&quot;operate_by&quot;:&quot;junjie.huang&quot;,&quot;operate_name&quot;:&quot;黄俊杰&quot;,&quot;operate_time&quot;:&quot;2025-07-0314:39:50&quot;},{&quot;nodeEvent&quot;:&quot;工单处理超过48小时，请及时关注&quot;,&quot;nodeEventKey&quot;:&quot;UPGRADE&quot;,&quot;operate_by&quot;:&quot;system&quot;,&quot;operate_name&quot;:&quot;系统&quot;,&quot;operate_time&quot;:&quot;2025-07-0415:30:01&quot;},{&quot;nodeEvent&quot;:&quot;超时原因:沟通确认方案中&quot;,&quot;nodeEventKey&quot;:&quot;TIMEOUT_HANDS_UP&quot;,&quot;operate_by&quot;:&quot;junjie.huang&quot;,&quot;operate_name&quot;:&quot;黄俊杰&quot;,&quot;operate_time&quot;:&quot;2025-07-0415:46:23&quot;},{&quot;nodeEvent&quot;:&quot;完成协同子单&quot;,&quot;nodeEventKey&quot;:&quot;COMPLETE&quot;,&quot;operate_by&quot;:&quot;junjie.huang&quot;,&quot;operate_name&quot;:&quot;黄俊杰&quot;,&quot;operate_time&quot;:&quot;2025-07-0415:46:25&quot;}]"/>
    <s v="48.39333333"/>
    <s v="nio"/>
    <s v="专属服务群"/>
    <s v="吴丽娟"/>
    <s v="424040863"/>
    <s v="佛山公司"/>
    <s v="LJ1E6A3U9PG555972"/>
    <s v="正式车主"/>
    <s v="否"/>
    <s v="(null)"/>
  </r>
  <r>
    <s v="XT-20250712CB9Y8U76I"/>
    <s v="TK-202507127MWV6EM44"/>
    <s v="已完成"/>
    <x v="1"/>
    <x v="4"/>
    <s v="【工单重启】重启原因:用户再次进线投诉，表示代步车现在还没有给到自己，还说有押金，已正常告知协同信息，并告知押金会在代步车归还时，无问题会退还，用户不接受，表示用过好多次代步车从来没有听说需要押金，表示要求再加急处理，再处理不好，自己一小时五个电话催，再不行就12315等曝光"/>
    <x v="2"/>
    <s v="投诉-车辆-未知异响"/>
    <s v="原声：用户进线投诉电机问题，售后服务差，先是在6月底到珠海售后维保检查，耽误了十来天，说处理不了，现在说取车到广州京溪门店再维保，又要重新检查，耽误时间，也不是个人问题，代步车还要扣除权益，对此无法接受_x000a_诉求：珠海维修的所有检查情况转给广州京溪，影响用车需要提供代步车_x000a_坐席：在线安抚记录反馈"/>
    <s v="原声：用户进线投诉电机问题，售后服务差，先是在6月底到珠海售后维保检查，耽误了十来天，说处理不了，现在说取车到广州京溪门店再维保，又要重新检查，耽误时间，也不是个人问题，代步车还要扣除权益，对此无法接受_x000a_诉求：珠海维修的所有检查情况转给广州京溪，影响用车需要提供代步车_x000a_坐席：在线安抚记录反馈"/>
    <s v="bin.wang13"/>
    <x v="5"/>
    <x v="5"/>
    <s v="(null)"/>
    <s v="服务运营，广州公司"/>
    <x v="2"/>
    <s v="2025-07-1213:53:08"/>
    <s v="2025-07-1316:12:19"/>
    <s v="[{&quot;nodeEvent&quot;:&quot;创建协同子单&quot;,&quot;nodeEventKey&quot;:&quot;CREATE&quot;,&quot;operate_by&quot;:&quot;bin.wang13&quot;,&quot;operate_name&quot;:&quot;王斌&quot;,&quot;operate_time&quot;:&quot;2025-07-1213:53:08&quot;},{&quot;nodeEvent&quot;:&quot;将协同人修改为苏家和(jiahe.su),马书文(mars.ma4),广州SO-ASC珠海金鼎汽车城,二线客诉组,广州蔚来体验官,广州SO-ASC白云京溪&quot;,&quot;nodeEventKey&quot;:&quot;TRANSFER_COOPERATED_OPERATOR&quot;,&quot;operate_by&quot;:&quot;zhaocan.zhu&quot;,&quot;operate_name&quot;:&quot;朱兆灿&quot;,&quot;operate_time&quot;:&quot;2025-07-1214:27:19&quot;},{&quot;nodeEvent&quot;:&quot;设置了沟通结论&quot;,&quot;nodeEventKey&quot;:&quot;SET_SOLUTION&quot;,&quot;operate_by&quot;:&quot;zhaocan.zhu&quot;,&quot;operate_name&quot;:&quot;朱兆灿&quot;,&quot;operate_time&quot;:&quot;2025-07-1313:03:02&quot;},{&quot;nodeEvent&quot;:&quot;完成协同子单&quot;,&quot;nodeEventKey&quot;:&quot;COMPLETE&quot;,&quot;operate_by&quot;:&quot;zhaocan.zhu&quot;,&quot;operate_name&quot;:&quot;朱兆灿&quot;,&quot;operate_time&quot;:&quot;2025-07-1313:03:04&quot;},{&quot;nodeEvent&quot;:&quot;子单重启&quot;,&quot;nodeEventKey&quot;:&quot;REOPEN&quot;,&quot;operate_by&quot;:&quot;felix.chen6&quot;,&quot;operate_name&quot;:&quot;陈志强&quot;,&quot;operate_time&quot;:&quot;2025-07-1315:40:56&quot;},{&quot;nodeEvent&quot;:&quot;完成协同子单&quot;,&quot;nodeEventKey&quot;:&quot;COMPLETE&quot;,&quot;operate_by&quot;:&quot;zhaocan.zhu&quot;,&quot;operate_name&quot;:&quot;朱兆灿&quot;,&quot;operate_time&quot;:&quot;2025-07-1316:12:19&quot;}]"/>
    <s v="26.31972222"/>
    <s v="nio"/>
    <s v="400热线"/>
    <s v="卢敏华"/>
    <s v="180563104"/>
    <s v="佛山公司"/>
    <s v="LJ1E6A2U3RG005638"/>
    <s v="共同车主"/>
    <s v="(null)"/>
    <s v="(null)"/>
  </r>
  <r>
    <s v="XT-20250711-HDAJFTOI"/>
    <s v="TK-20250711XM26J0-MA"/>
    <s v="已完成"/>
    <x v="0"/>
    <x v="1"/>
    <s v="-"/>
    <x v="1"/>
    <s v="咨询-人员-其他"/>
    <s v="问题描述:用户请求更换顾问至台州地区。_x000a_沟通结论:服务人员已接收用户需求，将反馈给相关同事处理，并告知用户若长时间未收到回复，可再次在专属群联系以获取帮助。"/>
    <s v="问题描述:用户请求更换顾问至台州地区。_x000a_沟通结论:服务人员已接收用户需求，将反馈给相关同事处理，并告知用户若长时间未收到回复，可再次在专属群联系以获取帮助。"/>
    <s v="chunyang.chen"/>
    <x v="6"/>
    <x v="0"/>
    <s v="区域运营，佛山公司"/>
    <s v="销售，佛山公司"/>
    <x v="0"/>
    <s v="2025-07-1116:41:14"/>
    <s v="2025-07-1120:59:15"/>
    <s v="[{&quot;nodeEvent&quot;:&quot;创建协同子单&quot;,&quot;nodeEventKey&quot;:&quot;CREATE&quot;,&quot;operate_by&quot;:&quot;chunyang.chen&quot;,&quot;operate_name&quot;:&quot;陈春阳&quot;,&quot;operate_time&quot;:&quot;2025-07-1116:41:14&quot;},{&quot;nodeEvent&quot;:&quot;完成协同子单&quot;,&quot;nodeEventKey&quot;:&quot;COMPLETE&quot;,&quot;operate_by&quot;:&quot;james.guan&quot;,&quot;operate_name&quot;:&quot;关永舜&quot;,&quot;operate_time&quot;:&quot;2025-07-1120:12:40&quot;},{&quot;nodeEvent&quot;:&quot;子单重启&quot;,&quot;nodeEventKey&quot;:&quot;REOPEN&quot;,&quot;operate_by&quot;:&quot;chunyang.chen&quot;,&quot;operate_name&quot;:&quot;陈春阳&quot;,&quot;operate_time&quot;:&quot;2025-07-1120:31:44&quot;},{&quot;nodeEvent&quot;:&quot;完成协同子单&quot;,&quot;nodeEventKey&quot;:&quot;COMPLETE&quot;,&quot;operate_by&quot;:&quot;james.guan&quot;,&quot;operate_name&quot;:&quot;关永舜&quot;,&quot;operate_time&quot;:&quot;2025-07-1120:59:15&quot;}]"/>
    <s v="4.30027778"/>
    <s v="nio"/>
    <s v="专属服务群"/>
    <s v="黄煜剑"/>
    <s v="407285965"/>
    <s v="台州公司"/>
    <s v="LJ1E6A2U4PG024437"/>
    <s v="正式车主"/>
    <s v="(null)"/>
    <s v="(null)"/>
  </r>
  <r>
    <s v="XT-20250702EFF5SKJ-K"/>
    <s v="TK-20250702EK3DKBY_F"/>
    <s v="已完成"/>
    <x v="1"/>
    <x v="4"/>
    <s v="【工单重启】重启原因:回访用户，沟通中用户情绪良好，关于服务问题用户也没再说啥，就是提到自己在网上搜了下激光雷达故障发现了很多问题，有点担心，也告知售后肯定会处理好的，又再次提到他看到别人都有啥啥的补偿方案，自己昨天只是想尽快修好车之前不知道这些，现在想别人有的他也争取下，未承诺一定有，看看售后伙伴是否可以酌情申请，谢谢"/>
    <x v="2"/>
    <s v="投诉-车辆-车辆解锁/上锁"/>
    <s v="用户进线反馈车辆在路边没有办法解锁，在专属群内反馈让回电，结果一直都是不理会，也没有人联系，表示五分钟内没有回复，将进行再次进线投诉"/>
    <s v="用户进线反馈车辆在路边没有办法解锁，在专属群内反馈让回电，结果一直都是不理会，也没有人联系，表示五分钟内没有回复，将进行再次进线投诉"/>
    <s v="hao.li19"/>
    <x v="2"/>
    <x v="1"/>
    <s v="(null)"/>
    <s v="服务运营，佛山公司"/>
    <x v="0"/>
    <s v="2025-07-0211:46:06"/>
    <s v="2025-07-0414:34:56"/>
    <s v="[{&quot;nodeEvent&quot;:&quot;创建协同子单&quot;,&quot;nodeEventKey&quot;:&quot;CREATE&quot;,&quot;operate_by&quot;:&quot;hao.li19&quot;,&quot;operate_name&quot;:&quot;李浩&quot;,&quot;operate_time&quot;:&quot;2025-07-0211:46:06&quot;},{&quot;nodeEvent&quot;:&quot;转派协同子单至&quot;,&quot;nodeEventKey&quot;:&quot;TRANSFER_TO&quot;,&quot;operate_by&quot;:&quot;yuxian.zhu&quot;,&quot;operate_name&quot;:&quot;朱雨娴&quot;,&quot;operate_time&quot;:&quot;2025-07-0212:02:36&quot;},{&quot;nodeEvent&quot;:&quot;认领协同子单&quot;,&quot;nodeEventKey&quot;:&quot;CLAIM&quot;,&quot;operate_by&quot;:&quot;yuxian.zhu&quot;,&quot;operate_name&quot;:&quot;朱雨娴&quot;,&quot;operate_time&quot;:&quot;2025-07-0212:02:38&quot;},{&quot;nodeEvent&quot;:&quot;将协同人修改为王佳琳(jialin.wang),佛山SO-NSC-顺德红岗,佛山蔚来体验官,二线客诉组,羊城小管家&quot;,&quot;nodeEventKey&quot;:&quot;TRANSFER_COOPERATED_OPERATOR&quot;,&quot;operate_by&quot;:&quot;junjie.huang&quot;,&quot;operate_name&quot;:&quot;黄俊杰&quot;,&quot;operate_time&quot;:&quot;2025-07-0212:23:12&quot;},{&quot;nodeEvent&quot;:&quot;设置了沟通结论&quot;,&quot;nodeEventKey&quot;:&quot;SET_SOLUTION&quot;,&quot;operate_by&quot;:&quot;yuxian.zhu&quot;,&quot;operate_name&quot;:&quot;朱雨娴&quot;,&quot;operate_time&quot;:&quot;2025-07-0216:45:08&quot;},{&quot;nodeEvent&quot;:&quot;完成协同子单&quot;,&quot;nodeEventKey&quot;:&quot;COMPLETE&quot;,&quot;operate_by&quot;:&quot;yuxian.zhu&quot;,&quot;operate_name&quot;:&quot;朱雨娴&quot;,&quot;operate_time&quot;:&quot;2025-07-0216:45:09&quot;},{&quot;nodeEvent&quot;:&quot;子单重启&quot;,&quot;nodeEventKey&quot;:&quot;REOPEN&quot;,&quot;operate_by&quot;:&quot;zhen.wu&quot;,&quot;operate_name&quot;:&quot;武振&quot;,&quot;operate_time&quot;:&quot;2025-07-0313:33:53&quot;},{&quot;nodeEvent&quot;:&quot;将协同人修改为王佳琳(jialin.wang),佛山SO-NSC-顺德红岗,佛山蔚来体验官,二线客诉组,佛山蔚来体验官,朱雨娴(yuxian.zhu)&quot;,&quot;nodeEventKey&quot;:&quot;TRANSFER_COOPERATED_OPERATOR&quot;,&quot;operate_by&quot;:&quot;yuxian.zhu&quot;,&quot;operate_name&quot;:&quot;朱雨娴&quot;,&quot;operate_time&quot;:&quot;2025-07-0313:52:49&quot;},{&quot;nodeEvent&quot;:&quot;转派协同子单至&quot;,&quot;nodeEventKey&quot;:&quot;TRANSFER_TO&quot;,&quot;operate_by&quot;:&quot;yuxian.zhu&quot;,&quot;operate_name&quot;:&quot;朱雨娴&quot;,&quot;operate_time&quot;:&quot;2025-07-0409:15:02&quot;},{&quot;nodeEvent&quot;:&quot;认领协同子单&quot;,&quot;nodeEventKey&quot;:&quot;CLAIM&quot;,&quot;operate_by&quot;:&quot;yuxian.zhu&quot;,&quot;operate_name&quot;:&quot;朱雨娴&quot;,&quot;operate_time&quot;:&quot;2025-07-0409:15:03&quot;},{&quot;nodeEvent&quot;:&quot;工单处理超过48小时，请及时关注&quot;,&quot;nodeEventKey&quot;:&quot;UPGRADE&quot;,&quot;operate_by&quot;:&quot;system&quot;,&quot;operate_name&quot;:&quot;系统&quot;,&quot;operate_time&quot;:&quot;2025-07-0411:50:01&quot;},{&quot;nodeEvent&quot;:&quot;超时原因:沟通确认方案中&quot;,&quot;nodeEventKey&quot;:&quot;TIMEOUT_HANDS_UP&quot;,&quot;operate_by&quot;:&quot;yuxian.zhu&quot;,&quot;operate_name&quot;:&quot;朱雨娴&quot;,&quot;operate_time&quot;:&quot;2025-07-0414:21:30&quot;},{&quot;nodeEvent&quot;:&quot;完成协同子单&quot;,&quot;nodeEventKey&quot;:&quot;COMPLETE&quot;,&quot;operate_by&quot;:&quot;yuxian.zhu&quot;,&quot;operate_name&quot;:&quot;朱雨娴&quot;,&quot;operate_time&quot;:&quot;2025-07-0414:34:56&quot;}]"/>
    <s v="50.81388889"/>
    <s v="nio"/>
    <s v="400热线"/>
    <s v="欧阳健湛"/>
    <s v="68085478"/>
    <s v="佛山公司"/>
    <s v="HJNNADMGXRA115324"/>
    <s v="正式车主"/>
    <s v="否"/>
    <s v="(null)"/>
  </r>
  <r>
    <s v="XT-20250712YDXDOQNRW"/>
    <s v="TK-20250712BOP58HK9B"/>
    <s v="已完成"/>
    <x v="1"/>
    <x v="6"/>
    <s v="【工单重启】重启原因:同步沟通结果"/>
    <x v="2"/>
    <s v="投诉-售后服务-维保服务-维保进度"/>
    <s v="问题描述:用户反映在下单维修服务时，已明确要求并电话沟通了维修问题，但后续在车辆接收后，因无法联系用户而被要求重新沟通确认，用户对此流程感到不满，认为服务流程混乱且沟通不畅，要求官方评估服务流程的合理性并考虑投诉。_x000a_沟通结论:服务人员表示理解用户的不满，承诺将记录情况并反馈给相关团队进行研究和评估，同时会跟进用户的投诉问题，寻求改善方案以提升用户体验。"/>
    <s v="问题描述:用户反映在下单维修服务时，已明确要求并电话沟通了维修问题，但后续在车辆接收后，因无法联系用户而被要求重新沟通确认，用户对此流程感到不满，认为服务流程混乱且沟通不畅，要求官方评估服务流程的合理性并考虑投诉。_x000a_沟通结论:服务人员表示理解用户的不满，承诺将记录情况并反馈给相关团队进行研究和评估，同时会跟进用户的投诉问题，寻求改善方案以提升用户体验。"/>
    <s v="junjie.huang"/>
    <x v="2"/>
    <x v="0"/>
    <s v="(null)"/>
    <s v="服务运营，佛山公司"/>
    <x v="0"/>
    <s v="2025-07-12 12:40:15"/>
    <s v="2025-07-14 10:08:33"/>
    <s v="[{&quot;nodeEvent&quot;:&quot;创建协同子单&quot;,&quot;nodeEventKey&quot;:&quot;CREATE&quot;,&quot;operate_by&quot;:&quot;junjie.huang&quot;,&quot;operate_name&quot;:&quot;黄俊杰&quot;,&quot;operate_time&quot;:&quot;2025-07-12 12:40:15&quot;},{&quot;nodeEvent&quot;:&quot;将协同人修改为 梁智烽(james.liang1),佛山SO-NSC-顺德红岗&quot;,&quot;nodeEventKey&quot;:&quot;TRANSFER_COOPERATED_OPERATOR&quot;,&quot;operate_by&quot;:&quot;junjie.huang&quot;,&quot;operate_name&quot;:&quot;黄俊杰&quot;,&quot;operate_time&quot;:&quot;2025-07-12 12:40:37&quot;},{&quot;nodeEvent&quot;:&quot;设置了沟通结论&quot;,&quot;nodeEventKey&quot;:&quot;SET_SOLUTION&quot;,&quot;operate_by&quot;:&quot;yuxian.zhu&quot;,&quot;operate_name&quot;:&quot;朱雨娴&quot;,&quot;operate_time&quot;:&quot;2025-07-14 10:04:35&quot;},{&quot;nodeEvent&quot;:&quot;完成协同子单&quot;,&quot;nodeEventKey&quot;:&quot;COMPLETE&quot;,&quot;operate_by&quot;:&quot;yuxian.zhu&quot;,&quot;operate_name&quot;:&quot;朱雨娴&quot;,&quot;operate_time&quot;:&quot;2025-07-14 10:04:36&quot;},{&quot;nodeEvent&quot;:&quot;子单重启&quot;,&quot;nodeEventKey&quot;:&quot;REOPEN&quot;,&quot;operate_by&quot;:&quot;yuxian.zhu&quot;,&quot;operate_name&quot;:&quot;朱雨娴&quot;,&quot;operate_time&quot;:&quot;2025-07-14 10:08:19&quot;},{&quot;nodeEvent&quot;:&quot;完成协同子单&quot;,&quot;nodeEventKey&quot;:&quot;COMPLETE&quot;,&quot;operate_by&quot;:&quot;yuxian.zhu&quot;,&quot;operate_name&quot;:&quot;朱雨娴&quot;,&quot;operate_time&quot;:&quot;2025-07-14 10:08:33&quot;}]"/>
    <s v="45.47166667"/>
    <s v="nio"/>
    <s v="专属服务群"/>
    <s v="薛志聪"/>
    <s v="353153165"/>
    <s v="佛山公司"/>
    <s v="LJ1EFAUU9NG093196"/>
    <s v="正式车主"/>
    <s v="(null)"/>
    <s v="(null)"/>
  </r>
  <r>
    <s v="XT-20250703MBVIS_H87"/>
    <s v="TK-202507035EQUB3TMY"/>
    <s v="处理中"/>
    <x v="1"/>
    <x v="6"/>
    <s v="【工单重启】重启原因:用户针对悬挂的问题不满，要求投诉，目前的述求是需要进行更换，辛苦协助"/>
    <x v="2"/>
    <s v="投诉-车辆-空气悬架-其他"/>
    <s v="车辆前轮左右悬架高低有问题，差了两个指头大概2-3公分，到顺德门店检查了，售后表示未达到更换标准，无法维修，但是车辆刚1年多，担心后续驾驶遇到问题。询问有无相应的方案。"/>
    <s v="车辆前轮左右悬架高低有问题，差了两个指头大概2-3公分，到顺德门店检查了，售后表示未达到更换标准，无法维修，但是车辆刚1年多，担心后续驾驶遇到问题。询问有无相应的方案。"/>
    <s v="zhiyuan.fan1"/>
    <x v="2"/>
    <x v="1"/>
    <s v="(null)"/>
    <s v="服务运营，佛山公司"/>
    <x v="0"/>
    <s v="2025-07-03 22:29:10"/>
    <s v="(null)"/>
    <s v="[{&quot;nodeEvent&quot;:&quot;创建协同子单&quot;,&quot;nodeEventKey&quot;:&quot;CREATE&quot;,&quot;operate_by&quot;:&quot;zhiyuan.fan1&quot;,&quot;operate_name&quot;:&quot;范志远&quot;,&quot;operate_time&quot;:&quot;2025-07-03 22:29:10&quot;},{&quot;nodeEvent&quot;:&quot;认领协同子单&quot;,&quot;nodeEventKey&quot;:&quot;CLAIM&quot;,&quot;operate_by&quot;:&quot;yuxian.zhu&quot;,&quot;operate_name&quot;:&quot;朱雨娴&quot;,&quot;operate_time&quot;:&quot;2025-07-04 09:13:43&quot;},{&quot;nodeEvent&quot;:&quot;转派协同子单至&quot;,&quot;nodeEventKey&quot;:&quot;TRANSFER_TO&quot;,&quot;operate_by&quot;:&quot;aozu.chen&quot;,&quot;operate_name&quot;:&quot;陈澳祖&quot;,&quot;operate_time&quot;:&quot;2025-07-04 21:14:45&quot;},{&quot;nodeEvent&quot;:&quot;完成协同子单&quot;,&quot;nodeEventKey&quot;:&quot;COMPLETE&quot;,&quot;operate_by&quot;:&quot;aozu.chen&quot;,&quot;operate_name&quot;:&quot;陈澳祖&quot;,&quot;operate_time&quot;:&quot;2025-07-04 21:14:46&quot;},{&quot;nodeEvent&quot;:&quot;子单重启&quot;,&quot;nodeEventKey&quot;:&quot;REOPEN&quot;,&quot;operate_by&quot;:&quot;hao.li19&quot;,&quot;operate_name&quot;:&quot;李浩&quot;,&quot;operate_time&quot;:&quot;2025-07-14 10:47:54&quot;},{&quot;nodeEvent&quot;:&quot;将需求标签修改为 投诉/车辆/空气悬架/其他&quot;,&quot;nodeEventKey&quot;:&quot;TAG&quot;,&quot;operate_by&quot;:&quot;hao.li19&quot;,&quot;operate_name&quot;:&quot;李浩&quot;,&quot;operate_time&quot;:&quot;2025-07-14 10:47:58&quot;},{&quot;nodeEvent&quot;:&quot;工单处理超过48小时，请及时关注&quot;,&quot;nodeEventKey&quot;:&quot;UPGRADE&quot;,&quot;operate_by&quot;:&quot;system&quot;,&quot;operate_name&quot;:&quot;系统&quot;,&quot;operate_time&quot;:&quot;2025-07-14 10:50:00&quot;},{&quot;nodeEvent&quot;:&quot;转派协同子单至&quot;,&quot;nodeEventKey&quot;:&quot;TRANSFER_TO&quot;,&quot;operate_by&quot;:&quot;yuxian.zhu&quot;,&quot;operate_name&quot;:&quot;朱雨娴&quot;,&quot;operate_time&quot;:&quot;2025-07-14 11:58:36&quot;},{&quot;nodeEvent&quot;:&quot;认领协同子单&quot;,&quot;nodeEventKey&quot;:&quot;CLAIM&quot;,&quot;operate_by&quot;:&quot;yuxian.zhu&quot;,&quot;operate_name&quot;:&quot;朱雨娴&quot;,&quot;operate_time&quot;:&quot;2025-07-14 11:58:38&quot;},{&quot;nodeEvent&quot;:&quot;超时原因:已沟通解决方案，但无法达成一致&quot;,&quot;nodeEventKey&quot;:&quot;TIMEOUT_HANDS_UP&quot;,&quot;operate_by&quot;:&quot;yuxian.zhu&quot;,&quot;operate_name&quot;:&quot;朱雨娴&quot;,&quot;operate_time&quot;:&quot;2025-07-14 11:58:48&quot;},{&quot;nodeEvent&quot;:&quot;设置了沟通结论&quot;,&quot;nodeEventKey&quot;:&quot;SET_SOLUTION&quot;,&quot;operate_by&quot;:&quot;yuxian.zhu&quot;,&quot;operate_name&quot;:&quot;朱雨娴&quot;,&quot;operate_time&quot;:&quot;2025-07-14 12:01:04&quot;}]"/>
    <s v="253.51388889"/>
    <s v="nio"/>
    <s v="400热线"/>
    <s v="尤贤仲"/>
    <s v="176325626"/>
    <s v="佛山公司"/>
    <s v="LJ1E6A2U0PG053238"/>
    <s v="正式车主"/>
    <s v="否"/>
    <s v="(nul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0743E4-E6A8-44A4-9E70-78B4000ED3BC}" name="数据透视表1" cacheId="0" applyNumberFormats="0" applyBorderFormats="0" applyFontFormats="0" applyPatternFormats="0" applyAlignmentFormats="0" applyWidthHeightFormats="1" dataCaption="值" updatedVersion="8" minRefreshableVersion="3" useAutoFormatting="1" itemPrintTitles="1" createdVersion="7" indent="0" outline="1" outlineData="1" multipleFieldFilters="0" chartFormat="2">
  <location ref="A5:B9" firstHeaderRow="1" firstDataRow="1" firstDataCol="1"/>
  <pivotFields count="29">
    <pivotField showAll="0"/>
    <pivotField showAll="0"/>
    <pivotField showAll="0"/>
    <pivotField showAll="0">
      <items count="3">
        <item x="1"/>
        <item x="0"/>
        <item t="default"/>
      </items>
    </pivotField>
    <pivotField showAll="0">
      <items count="8">
        <item x="4"/>
        <item x="0"/>
        <item x="3"/>
        <item x="5"/>
        <item x="2"/>
        <item x="6"/>
        <item x="1"/>
        <item t="default"/>
      </items>
    </pivotField>
    <pivotField showAll="0"/>
    <pivotField axis="axisRow" dataField="1"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8">
        <item x="6"/>
        <item x="4"/>
        <item x="0"/>
        <item x="3"/>
        <item x="1"/>
        <item x="2"/>
        <item x="5"/>
        <item t="default"/>
      </items>
    </pivotField>
    <pivotField showAll="0">
      <items count="7">
        <item x="0"/>
        <item x="3"/>
        <item x="1"/>
        <item x="5"/>
        <item x="2"/>
        <item x="4"/>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2"/>
    </i>
    <i>
      <x v="1"/>
    </i>
    <i t="grand">
      <x/>
    </i>
  </rowItems>
  <colItems count="1">
    <i/>
  </colItems>
  <dataFields count="1">
    <dataField name="计数项:业务类型" fld="6"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F16C0E-7757-4C33-BA9F-A5FDB693C938}" name="数据透视表19" cacheId="0" applyNumberFormats="0" applyBorderFormats="0" applyFontFormats="0" applyPatternFormats="0" applyAlignmentFormats="0" applyWidthHeightFormats="1" dataCaption="值" updatedVersion="8" minRefreshableVersion="3" useAutoFormatting="1" itemPrintTitles="1" createdVersion="7" indent="0" outline="1" outlineData="1" multipleFieldFilters="0" chartFormat="3">
  <location ref="A19:B27" firstHeaderRow="1" firstDataRow="1" firstDataCol="1"/>
  <pivotFields count="29">
    <pivotField showAll="0"/>
    <pivotField showAll="0"/>
    <pivotField showAll="0"/>
    <pivotField showAll="0">
      <items count="3">
        <item x="1"/>
        <item x="0"/>
        <item t="default"/>
      </items>
    </pivotField>
    <pivotField axis="axisRow" dataField="1" showAll="0" sortType="descending">
      <items count="8">
        <item x="4"/>
        <item x="0"/>
        <item x="3"/>
        <item x="5"/>
        <item x="2"/>
        <item x="1"/>
        <item x="6"/>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6"/>
    </i>
    <i>
      <x v="5"/>
    </i>
    <i>
      <x v="1"/>
    </i>
    <i>
      <x v="2"/>
    </i>
    <i>
      <x v="4"/>
    </i>
    <i>
      <x v="3"/>
    </i>
    <i t="grand">
      <x/>
    </i>
  </rowItems>
  <colItems count="1">
    <i/>
  </colItems>
  <dataFields count="1">
    <dataField name="计数项:场景" fld="4" subtotal="count" baseField="0" baseItem="0"/>
  </dataField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E8B2F6-0EA2-4379-9137-EB7B7E272F0D}" name="数据透视表18" cacheId="0" applyNumberFormats="0" applyBorderFormats="0" applyFontFormats="0" applyPatternFormats="0" applyAlignmentFormats="0" applyWidthHeightFormats="1" dataCaption="值" updatedVersion="8" minRefreshableVersion="3" useAutoFormatting="1" itemPrintTitles="1" createdVersion="7" indent="0" outline="1" outlineData="1" multipleFieldFilters="0" chartFormat="9">
  <location ref="I5:J8" firstHeaderRow="1" firstDataRow="1" firstDataCol="1"/>
  <pivotFields count="29">
    <pivotField showAll="0"/>
    <pivotField showAll="0"/>
    <pivotField showAll="0"/>
    <pivotField axis="axisRow" dataField="1" showAll="0" sortType="ascending">
      <items count="3">
        <item x="1"/>
        <item x="0"/>
        <item t="default"/>
      </items>
      <autoSortScope>
        <pivotArea dataOnly="0" outline="0" fieldPosition="0">
          <references count="1">
            <reference field="4294967294" count="1" selected="0">
              <x v="0"/>
            </reference>
          </references>
        </pivotArea>
      </autoSortScope>
    </pivotField>
    <pivotField showAll="0">
      <items count="8">
        <item x="4"/>
        <item x="0"/>
        <item x="3"/>
        <item x="5"/>
        <item x="2"/>
        <item x="6"/>
        <item x="1"/>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1"/>
    </i>
    <i>
      <x/>
    </i>
    <i t="grand">
      <x/>
    </i>
  </rowItems>
  <colItems count="1">
    <i/>
  </colItems>
  <dataFields count="1">
    <dataField name="计数项:部门" fld="3" subtotal="count"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业务类型" xr10:uid="{DCC8BEC3-A011-4FAD-9CF7-AE8297BA7606}" sourceName="业务类型">
  <pivotTables>
    <pivotTable tabId="2" name="数据透视表1"/>
    <pivotTable tabId="2" name="数据透视表18"/>
    <pivotTable tabId="2" name="数据透视表19"/>
  </pivotTables>
  <data>
    <tabular pivotCacheId="170556012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部门" xr10:uid="{A36E2DAD-9B7E-4714-B4B1-F1B39516F117}" sourceName="部门">
  <pivotTables>
    <pivotTable tabId="2" name="数据透视表1"/>
    <pivotTable tabId="2" name="数据透视表18"/>
    <pivotTable tabId="2" name="数据透视表19"/>
  </pivotTables>
  <data>
    <tabular pivotCacheId="170556012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场景" xr10:uid="{0F501271-B157-47A9-BF7A-B1998592D077}" sourceName="场景">
  <pivotTables>
    <pivotTable tabId="2" name="数据透视表1"/>
    <pivotTable tabId="2" name="数据透视表18"/>
    <pivotTable tabId="2" name="数据透视表19"/>
  </pivotTables>
  <data>
    <tabular pivotCacheId="1705560124">
      <items count="7">
        <i x="4" s="1"/>
        <i x="3" s="1"/>
        <i x="2" s="1"/>
        <i x="1" s="1"/>
        <i x="6"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处理人城市公司" xr10:uid="{6E9171A3-DD6F-A346-999F-0074BCBB0D67}" sourceName="处理人城市公司">
  <pivotTables>
    <pivotTable tabId="2" name="数据透视表1"/>
    <pivotTable tabId="2" name="数据透视表18"/>
    <pivotTable tabId="2" name="数据透视表19"/>
  </pivotTables>
  <data>
    <tabular pivotCacheId="170556012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业务类型" xr10:uid="{FD7F9039-9326-4CF6-90FC-E098CAA88138}" cache="切片器_业务类型" caption="业务类型" style="SlicerStyleLight4" rowHeight="209550"/>
  <slicer name="部门" xr10:uid="{1B202561-B567-40A9-A3CC-A4ED7AEE6A06}" cache="切片器_部门" caption="部门" rowHeight="209550"/>
  <slicer name="场景" xr10:uid="{2E4BBBBE-C11E-4F45-9BFA-7EC52C2DEDA7}" cache="切片器_场景" caption="场景" startItem="1" style="SlicerStyleLight6" rowHeight="209550"/>
  <slicer name="处理人城市公司" xr10:uid="{12A19F00-CABD-A74D-A41F-D30FDDF7ECED}" cache="Slicer_处理人城市公司" caption="处理人城市公司" columnCount="3" style="SlicerStyleDark2" rowHeight="230716"/>
  <slicer name="处理人城市公司 1" xr10:uid="{9A570075-78AB-164C-9076-340A496AD8C1}" cache="Slicer_处理人城市公司" caption="处理人城市公司" columnCount="3" style="SlicerStyleDark2"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C4240-5837-444A-8B8E-39DFCE64F0BC}">
  <dimension ref="A5:J27"/>
  <sheetViews>
    <sheetView tabSelected="1" zoomScale="150" zoomScaleNormal="85" workbookViewId="0">
      <selection activeCell="M20" sqref="M20"/>
    </sheetView>
  </sheetViews>
  <sheetFormatPr baseColWidth="10" defaultColWidth="8.83203125" defaultRowHeight="15"/>
  <cols>
    <col min="1" max="1" width="12.1640625" bestFit="1" customWidth="1"/>
    <col min="2" max="2" width="11" bestFit="1" customWidth="1"/>
    <col min="9" max="9" width="12.1640625" bestFit="1" customWidth="1"/>
    <col min="10" max="10" width="11" bestFit="1" customWidth="1"/>
  </cols>
  <sheetData>
    <row r="5" spans="1:10">
      <c r="A5" s="2" t="s">
        <v>257</v>
      </c>
      <c r="B5" t="s">
        <v>198</v>
      </c>
      <c r="I5" s="2" t="s">
        <v>257</v>
      </c>
      <c r="J5" t="s">
        <v>229</v>
      </c>
    </row>
    <row r="6" spans="1:10">
      <c r="A6" s="3" t="s">
        <v>70</v>
      </c>
      <c r="B6">
        <v>8</v>
      </c>
      <c r="I6" s="3" t="s">
        <v>215</v>
      </c>
      <c r="J6">
        <v>3</v>
      </c>
    </row>
    <row r="7" spans="1:10">
      <c r="A7" s="3" t="s">
        <v>48</v>
      </c>
      <c r="B7">
        <v>3</v>
      </c>
      <c r="I7" s="3" t="s">
        <v>223</v>
      </c>
      <c r="J7">
        <v>11</v>
      </c>
    </row>
    <row r="8" spans="1:10">
      <c r="A8" s="3" t="s">
        <v>29</v>
      </c>
      <c r="B8">
        <v>3</v>
      </c>
      <c r="I8" s="3" t="s">
        <v>258</v>
      </c>
      <c r="J8">
        <v>14</v>
      </c>
    </row>
    <row r="9" spans="1:10">
      <c r="A9" s="3" t="s">
        <v>258</v>
      </c>
      <c r="B9">
        <v>14</v>
      </c>
    </row>
    <row r="19" spans="1:2">
      <c r="A19" s="2" t="s">
        <v>257</v>
      </c>
      <c r="B19" t="s">
        <v>230</v>
      </c>
    </row>
    <row r="20" spans="1:2">
      <c r="A20" s="3" t="s">
        <v>224</v>
      </c>
      <c r="B20">
        <v>4</v>
      </c>
    </row>
    <row r="21" spans="1:2">
      <c r="A21" s="3" t="s">
        <v>244</v>
      </c>
      <c r="B21">
        <v>2</v>
      </c>
    </row>
    <row r="22" spans="1:2">
      <c r="A22" s="3" t="s">
        <v>228</v>
      </c>
      <c r="B22">
        <v>2</v>
      </c>
    </row>
    <row r="23" spans="1:2">
      <c r="A23" s="3" t="s">
        <v>225</v>
      </c>
      <c r="B23">
        <v>2</v>
      </c>
    </row>
    <row r="24" spans="1:2">
      <c r="A24" s="3" t="s">
        <v>226</v>
      </c>
      <c r="B24">
        <v>2</v>
      </c>
    </row>
    <row r="25" spans="1:2">
      <c r="A25" s="3" t="s">
        <v>227</v>
      </c>
      <c r="B25">
        <v>1</v>
      </c>
    </row>
    <row r="26" spans="1:2">
      <c r="A26" s="3" t="s">
        <v>259</v>
      </c>
      <c r="B26">
        <v>1</v>
      </c>
    </row>
    <row r="27" spans="1:2">
      <c r="A27" s="3" t="s">
        <v>258</v>
      </c>
      <c r="B27">
        <v>14</v>
      </c>
    </row>
  </sheetData>
  <phoneticPr fontId="2" type="noConversion"/>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
  <sheetViews>
    <sheetView topLeftCell="L1" zoomScale="140" workbookViewId="0">
      <selection activeCell="P5" sqref="P5"/>
    </sheetView>
  </sheetViews>
  <sheetFormatPr baseColWidth="10" defaultColWidth="8.83203125" defaultRowHeight="15"/>
  <cols>
    <col min="1" max="1" width="47.83203125" customWidth="1"/>
    <col min="2" max="2" width="20.6640625" customWidth="1"/>
    <col min="5" max="5" width="16.5" customWidth="1"/>
    <col min="6" max="6" width="27.1640625" customWidth="1"/>
    <col min="7" max="7" width="6.6640625" customWidth="1"/>
    <col min="8" max="8" width="15.5" customWidth="1"/>
    <col min="16" max="16" width="41.1640625" customWidth="1"/>
    <col min="20" max="20" width="26.1640625" customWidth="1"/>
  </cols>
  <sheetData>
    <row r="1" spans="1:29" s="8" customFormat="1" ht="12" customHeight="1">
      <c r="A1" s="6" t="s">
        <v>0</v>
      </c>
      <c r="B1" s="6" t="s">
        <v>1</v>
      </c>
      <c r="C1" s="6" t="s">
        <v>2</v>
      </c>
      <c r="D1" s="9" t="s">
        <v>199</v>
      </c>
      <c r="E1" s="9" t="s">
        <v>200</v>
      </c>
      <c r="F1" s="7" t="s">
        <v>201</v>
      </c>
      <c r="G1" s="6" t="s">
        <v>3</v>
      </c>
      <c r="H1" s="6" t="s">
        <v>4</v>
      </c>
      <c r="I1" s="6" t="s">
        <v>5</v>
      </c>
      <c r="J1" s="6" t="s">
        <v>6</v>
      </c>
      <c r="K1" s="6" t="s">
        <v>7</v>
      </c>
      <c r="L1" s="6" t="s">
        <v>8</v>
      </c>
      <c r="M1" s="6" t="s">
        <v>9</v>
      </c>
      <c r="N1" s="6" t="s">
        <v>10</v>
      </c>
      <c r="O1" s="6" t="s">
        <v>11</v>
      </c>
      <c r="P1" s="6" t="s">
        <v>12</v>
      </c>
      <c r="Q1" s="6" t="s">
        <v>13</v>
      </c>
      <c r="R1" s="6" t="s">
        <v>14</v>
      </c>
      <c r="S1" s="6" t="s">
        <v>15</v>
      </c>
      <c r="T1" s="6" t="s">
        <v>16</v>
      </c>
      <c r="U1" s="6" t="s">
        <v>17</v>
      </c>
      <c r="V1" s="6" t="s">
        <v>18</v>
      </c>
      <c r="W1" s="6" t="s">
        <v>19</v>
      </c>
      <c r="X1" s="6" t="s">
        <v>20</v>
      </c>
      <c r="Y1" s="6" t="s">
        <v>21</v>
      </c>
      <c r="Z1" s="6" t="s">
        <v>22</v>
      </c>
      <c r="AA1" s="6" t="s">
        <v>23</v>
      </c>
      <c r="AB1" s="6" t="s">
        <v>24</v>
      </c>
      <c r="AC1" s="6" t="s">
        <v>25</v>
      </c>
    </row>
    <row r="2" spans="1:29" ht="12" customHeight="1">
      <c r="A2" t="s">
        <v>26</v>
      </c>
      <c r="B2" t="s">
        <v>27</v>
      </c>
      <c r="C2" t="s">
        <v>28</v>
      </c>
      <c r="D2" t="s">
        <v>215</v>
      </c>
      <c r="E2" t="s">
        <v>206</v>
      </c>
      <c r="F2" s="4" t="s">
        <v>204</v>
      </c>
      <c r="G2" t="s">
        <v>29</v>
      </c>
      <c r="H2" t="s">
        <v>30</v>
      </c>
      <c r="I2" t="s">
        <v>158</v>
      </c>
      <c r="J2" t="s">
        <v>159</v>
      </c>
      <c r="K2" t="s">
        <v>31</v>
      </c>
      <c r="L2" t="s">
        <v>32</v>
      </c>
      <c r="M2" t="s">
        <v>33</v>
      </c>
      <c r="N2" t="s">
        <v>34</v>
      </c>
      <c r="O2" t="s">
        <v>35</v>
      </c>
      <c r="P2" t="s">
        <v>36</v>
      </c>
      <c r="Q2" t="s">
        <v>160</v>
      </c>
      <c r="R2" t="s">
        <v>161</v>
      </c>
      <c r="S2" t="s">
        <v>162</v>
      </c>
      <c r="T2" t="s">
        <v>37</v>
      </c>
      <c r="U2" t="s">
        <v>38</v>
      </c>
      <c r="V2" t="s">
        <v>39</v>
      </c>
      <c r="W2" t="s">
        <v>40</v>
      </c>
      <c r="X2" t="s">
        <v>41</v>
      </c>
      <c r="Y2" t="s">
        <v>36</v>
      </c>
      <c r="Z2" t="s">
        <v>42</v>
      </c>
      <c r="AA2" t="s">
        <v>43</v>
      </c>
      <c r="AB2" t="s">
        <v>44</v>
      </c>
      <c r="AC2" t="s">
        <v>33</v>
      </c>
    </row>
    <row r="3" spans="1:29" ht="12" customHeight="1">
      <c r="A3" t="s">
        <v>45</v>
      </c>
      <c r="B3" t="s">
        <v>46</v>
      </c>
      <c r="C3" t="s">
        <v>47</v>
      </c>
      <c r="D3" t="s">
        <v>202</v>
      </c>
      <c r="E3" t="s">
        <v>207</v>
      </c>
      <c r="F3" s="5" t="s">
        <v>203</v>
      </c>
      <c r="G3" t="s">
        <v>48</v>
      </c>
      <c r="H3" t="s">
        <v>205</v>
      </c>
      <c r="I3" s="1" t="s">
        <v>163</v>
      </c>
      <c r="J3" s="1" t="s">
        <v>163</v>
      </c>
      <c r="K3" t="s">
        <v>49</v>
      </c>
      <c r="L3" t="s">
        <v>50</v>
      </c>
      <c r="M3" t="s">
        <v>51</v>
      </c>
      <c r="N3" t="s">
        <v>33</v>
      </c>
      <c r="O3" t="s">
        <v>52</v>
      </c>
      <c r="P3" t="s">
        <v>36</v>
      </c>
      <c r="Q3" t="s">
        <v>164</v>
      </c>
      <c r="R3" t="s">
        <v>33</v>
      </c>
      <c r="S3" t="s">
        <v>165</v>
      </c>
      <c r="T3" t="s">
        <v>53</v>
      </c>
      <c r="U3" t="s">
        <v>38</v>
      </c>
      <c r="V3" t="s">
        <v>39</v>
      </c>
      <c r="W3" t="s">
        <v>54</v>
      </c>
      <c r="X3" t="s">
        <v>55</v>
      </c>
      <c r="Y3" t="s">
        <v>36</v>
      </c>
      <c r="Z3" t="s">
        <v>56</v>
      </c>
      <c r="AA3" t="s">
        <v>43</v>
      </c>
      <c r="AB3" t="s">
        <v>33</v>
      </c>
      <c r="AC3" t="s">
        <v>33</v>
      </c>
    </row>
    <row r="4" spans="1:29" ht="12" customHeight="1">
      <c r="A4" t="s">
        <v>57</v>
      </c>
      <c r="B4" t="s">
        <v>58</v>
      </c>
      <c r="C4" t="s">
        <v>47</v>
      </c>
      <c r="D4" t="s">
        <v>202</v>
      </c>
      <c r="E4" t="s">
        <v>222</v>
      </c>
      <c r="F4" t="s">
        <v>211</v>
      </c>
      <c r="G4" t="s">
        <v>29</v>
      </c>
      <c r="H4" t="s">
        <v>59</v>
      </c>
      <c r="I4" t="s">
        <v>208</v>
      </c>
      <c r="J4" t="s">
        <v>60</v>
      </c>
      <c r="K4" t="s">
        <v>61</v>
      </c>
      <c r="L4" t="s">
        <v>62</v>
      </c>
      <c r="M4" t="s">
        <v>51</v>
      </c>
      <c r="N4" t="s">
        <v>33</v>
      </c>
      <c r="O4" t="s">
        <v>52</v>
      </c>
      <c r="P4" t="s">
        <v>36</v>
      </c>
      <c r="Q4" t="s">
        <v>166</v>
      </c>
      <c r="R4" t="s">
        <v>33</v>
      </c>
      <c r="S4" t="s">
        <v>167</v>
      </c>
      <c r="T4" t="s">
        <v>63</v>
      </c>
      <c r="U4" t="s">
        <v>38</v>
      </c>
      <c r="V4" t="s">
        <v>39</v>
      </c>
      <c r="W4" t="s">
        <v>64</v>
      </c>
      <c r="X4" t="s">
        <v>65</v>
      </c>
      <c r="Y4" t="s">
        <v>66</v>
      </c>
      <c r="Z4" t="s">
        <v>67</v>
      </c>
      <c r="AA4" t="s">
        <v>43</v>
      </c>
      <c r="AB4" t="s">
        <v>33</v>
      </c>
      <c r="AC4" t="s">
        <v>33</v>
      </c>
    </row>
    <row r="5" spans="1:29" ht="12" customHeight="1">
      <c r="A5" t="s">
        <v>68</v>
      </c>
      <c r="B5" t="s">
        <v>69</v>
      </c>
      <c r="C5" t="s">
        <v>28</v>
      </c>
      <c r="D5" t="s">
        <v>202</v>
      </c>
      <c r="E5" t="s">
        <v>209</v>
      </c>
      <c r="F5" s="4" t="s">
        <v>212</v>
      </c>
      <c r="G5" t="s">
        <v>70</v>
      </c>
      <c r="H5" t="s">
        <v>71</v>
      </c>
      <c r="I5" s="1" t="s">
        <v>168</v>
      </c>
      <c r="J5" s="1" t="s">
        <v>168</v>
      </c>
      <c r="K5" t="s">
        <v>72</v>
      </c>
      <c r="L5" t="s">
        <v>62</v>
      </c>
      <c r="M5" t="s">
        <v>51</v>
      </c>
      <c r="N5" t="s">
        <v>33</v>
      </c>
      <c r="O5" t="s">
        <v>52</v>
      </c>
      <c r="P5" t="s">
        <v>36</v>
      </c>
      <c r="Q5" t="s">
        <v>169</v>
      </c>
      <c r="R5" t="s">
        <v>170</v>
      </c>
      <c r="S5" t="s">
        <v>171</v>
      </c>
      <c r="T5" t="s">
        <v>73</v>
      </c>
      <c r="U5" t="s">
        <v>38</v>
      </c>
      <c r="V5" t="s">
        <v>74</v>
      </c>
      <c r="W5" t="s">
        <v>75</v>
      </c>
      <c r="X5" t="s">
        <v>76</v>
      </c>
      <c r="Y5" t="s">
        <v>36</v>
      </c>
      <c r="Z5" t="s">
        <v>77</v>
      </c>
      <c r="AA5" t="s">
        <v>43</v>
      </c>
      <c r="AB5" t="s">
        <v>44</v>
      </c>
      <c r="AC5" t="s">
        <v>33</v>
      </c>
    </row>
    <row r="6" spans="1:29" ht="12" customHeight="1">
      <c r="A6" t="s">
        <v>78</v>
      </c>
      <c r="B6" t="s">
        <v>79</v>
      </c>
      <c r="C6" t="s">
        <v>28</v>
      </c>
      <c r="D6" t="s">
        <v>202</v>
      </c>
      <c r="E6" t="s">
        <v>213</v>
      </c>
      <c r="F6" s="4" t="s">
        <v>214</v>
      </c>
      <c r="G6" t="s">
        <v>70</v>
      </c>
      <c r="H6" t="s">
        <v>80</v>
      </c>
      <c r="I6" s="1" t="s">
        <v>172</v>
      </c>
      <c r="J6" s="1" t="s">
        <v>172</v>
      </c>
      <c r="K6" t="s">
        <v>81</v>
      </c>
      <c r="L6" t="s">
        <v>62</v>
      </c>
      <c r="M6" t="s">
        <v>51</v>
      </c>
      <c r="N6" t="s">
        <v>33</v>
      </c>
      <c r="O6" t="s">
        <v>52</v>
      </c>
      <c r="P6" t="s">
        <v>36</v>
      </c>
      <c r="Q6" t="s">
        <v>173</v>
      </c>
      <c r="R6" t="s">
        <v>174</v>
      </c>
      <c r="S6" t="s">
        <v>175</v>
      </c>
      <c r="T6" t="s">
        <v>82</v>
      </c>
      <c r="U6" t="s">
        <v>38</v>
      </c>
      <c r="V6" t="s">
        <v>39</v>
      </c>
      <c r="W6" t="s">
        <v>83</v>
      </c>
      <c r="X6" t="s">
        <v>84</v>
      </c>
      <c r="Y6" t="s">
        <v>36</v>
      </c>
      <c r="Z6" t="s">
        <v>85</v>
      </c>
      <c r="AA6" t="s">
        <v>86</v>
      </c>
      <c r="AB6" t="s">
        <v>44</v>
      </c>
      <c r="AC6" t="s">
        <v>33</v>
      </c>
    </row>
    <row r="7" spans="1:29" ht="12" customHeight="1">
      <c r="A7" t="s">
        <v>87</v>
      </c>
      <c r="B7" t="s">
        <v>88</v>
      </c>
      <c r="C7" t="s">
        <v>28</v>
      </c>
      <c r="D7" t="s">
        <v>215</v>
      </c>
      <c r="E7" t="s">
        <v>206</v>
      </c>
      <c r="F7" s="4" t="s">
        <v>216</v>
      </c>
      <c r="G7" t="s">
        <v>48</v>
      </c>
      <c r="H7" t="s">
        <v>89</v>
      </c>
      <c r="I7" t="s">
        <v>90</v>
      </c>
      <c r="J7" t="s">
        <v>90</v>
      </c>
      <c r="K7" t="s">
        <v>91</v>
      </c>
      <c r="L7" t="s">
        <v>92</v>
      </c>
      <c r="M7" t="s">
        <v>93</v>
      </c>
      <c r="N7" t="s">
        <v>94</v>
      </c>
      <c r="O7" t="s">
        <v>95</v>
      </c>
      <c r="P7" t="s">
        <v>33</v>
      </c>
      <c r="Q7" t="s">
        <v>176</v>
      </c>
      <c r="R7" t="s">
        <v>177</v>
      </c>
      <c r="S7" t="s">
        <v>178</v>
      </c>
      <c r="T7" t="s">
        <v>96</v>
      </c>
      <c r="U7" t="s">
        <v>38</v>
      </c>
      <c r="V7" t="s">
        <v>39</v>
      </c>
      <c r="W7" t="s">
        <v>97</v>
      </c>
      <c r="X7" t="s">
        <v>98</v>
      </c>
      <c r="Y7" t="s">
        <v>36</v>
      </c>
      <c r="Z7" t="s">
        <v>99</v>
      </c>
      <c r="AA7" t="s">
        <v>43</v>
      </c>
      <c r="AB7" t="s">
        <v>44</v>
      </c>
      <c r="AC7" t="s">
        <v>33</v>
      </c>
    </row>
    <row r="8" spans="1:29" ht="12" customHeight="1">
      <c r="A8" t="s">
        <v>100</v>
      </c>
      <c r="B8" t="s">
        <v>101</v>
      </c>
      <c r="C8" t="s">
        <v>102</v>
      </c>
      <c r="D8" t="s">
        <v>202</v>
      </c>
      <c r="E8" t="s">
        <v>209</v>
      </c>
      <c r="F8" s="4" t="s">
        <v>210</v>
      </c>
      <c r="G8" t="s">
        <v>70</v>
      </c>
      <c r="H8" t="s">
        <v>103</v>
      </c>
      <c r="I8" t="s">
        <v>179</v>
      </c>
      <c r="J8" t="s">
        <v>179</v>
      </c>
      <c r="K8" t="s">
        <v>104</v>
      </c>
      <c r="L8" t="s">
        <v>50</v>
      </c>
      <c r="M8" t="s">
        <v>51</v>
      </c>
      <c r="N8" t="s">
        <v>33</v>
      </c>
      <c r="O8" t="s">
        <v>52</v>
      </c>
      <c r="P8" t="s">
        <v>36</v>
      </c>
      <c r="Q8" t="s">
        <v>180</v>
      </c>
      <c r="R8" t="s">
        <v>33</v>
      </c>
      <c r="S8" t="s">
        <v>181</v>
      </c>
      <c r="T8" t="s">
        <v>105</v>
      </c>
      <c r="U8" t="s">
        <v>38</v>
      </c>
      <c r="V8" t="s">
        <v>74</v>
      </c>
      <c r="W8" t="s">
        <v>106</v>
      </c>
      <c r="X8" t="s">
        <v>107</v>
      </c>
      <c r="Y8" t="s">
        <v>36</v>
      </c>
      <c r="Z8" t="s">
        <v>108</v>
      </c>
      <c r="AA8" t="s">
        <v>43</v>
      </c>
      <c r="AB8" t="s">
        <v>33</v>
      </c>
      <c r="AC8" t="s">
        <v>33</v>
      </c>
    </row>
    <row r="9" spans="1:29" ht="12" customHeight="1">
      <c r="A9" t="s">
        <v>109</v>
      </c>
      <c r="B9" t="s">
        <v>110</v>
      </c>
      <c r="C9" t="s">
        <v>28</v>
      </c>
      <c r="D9" t="s">
        <v>202</v>
      </c>
      <c r="E9" t="s">
        <v>213</v>
      </c>
      <c r="F9" s="4" t="s">
        <v>217</v>
      </c>
      <c r="G9" t="s">
        <v>29</v>
      </c>
      <c r="H9" t="s">
        <v>111</v>
      </c>
      <c r="I9" t="s">
        <v>112</v>
      </c>
      <c r="J9" t="s">
        <v>112</v>
      </c>
      <c r="K9" t="s">
        <v>61</v>
      </c>
      <c r="L9" t="s">
        <v>62</v>
      </c>
      <c r="M9" t="s">
        <v>113</v>
      </c>
      <c r="N9" t="s">
        <v>33</v>
      </c>
      <c r="O9" t="s">
        <v>52</v>
      </c>
      <c r="P9" t="s">
        <v>36</v>
      </c>
      <c r="Q9" t="s">
        <v>182</v>
      </c>
      <c r="R9" t="s">
        <v>183</v>
      </c>
      <c r="S9" t="s">
        <v>184</v>
      </c>
      <c r="T9" t="s">
        <v>114</v>
      </c>
      <c r="U9" t="s">
        <v>38</v>
      </c>
      <c r="V9" t="s">
        <v>39</v>
      </c>
      <c r="W9" t="s">
        <v>115</v>
      </c>
      <c r="X9" t="s">
        <v>116</v>
      </c>
      <c r="Y9" t="s">
        <v>36</v>
      </c>
      <c r="Z9" t="s">
        <v>117</v>
      </c>
      <c r="AA9" t="s">
        <v>43</v>
      </c>
      <c r="AB9" t="s">
        <v>44</v>
      </c>
      <c r="AC9" t="s">
        <v>33</v>
      </c>
    </row>
    <row r="10" spans="1:29" ht="12" customHeight="1">
      <c r="A10" t="s">
        <v>118</v>
      </c>
      <c r="B10" t="s">
        <v>119</v>
      </c>
      <c r="C10" t="s">
        <v>28</v>
      </c>
      <c r="D10" t="s">
        <v>202</v>
      </c>
      <c r="E10" t="s">
        <v>219</v>
      </c>
      <c r="F10" s="4" t="s">
        <v>218</v>
      </c>
      <c r="G10" t="s">
        <v>70</v>
      </c>
      <c r="H10" t="s">
        <v>120</v>
      </c>
      <c r="I10" t="s">
        <v>121</v>
      </c>
      <c r="J10" t="s">
        <v>121</v>
      </c>
      <c r="K10" t="s">
        <v>122</v>
      </c>
      <c r="L10" t="s">
        <v>122</v>
      </c>
      <c r="M10" t="s">
        <v>123</v>
      </c>
      <c r="N10" t="s">
        <v>94</v>
      </c>
      <c r="O10" t="s">
        <v>124</v>
      </c>
      <c r="P10" t="s">
        <v>33</v>
      </c>
      <c r="Q10" t="s">
        <v>185</v>
      </c>
      <c r="R10" t="s">
        <v>186</v>
      </c>
      <c r="S10" t="s">
        <v>187</v>
      </c>
      <c r="T10" t="s">
        <v>125</v>
      </c>
      <c r="U10" t="s">
        <v>38</v>
      </c>
      <c r="V10" t="s">
        <v>39</v>
      </c>
      <c r="W10" t="s">
        <v>126</v>
      </c>
      <c r="X10" t="s">
        <v>127</v>
      </c>
      <c r="Y10" t="s">
        <v>36</v>
      </c>
      <c r="Z10" t="s">
        <v>128</v>
      </c>
      <c r="AA10" t="s">
        <v>43</v>
      </c>
      <c r="AB10" t="s">
        <v>44</v>
      </c>
      <c r="AC10" t="s">
        <v>33</v>
      </c>
    </row>
    <row r="11" spans="1:29" ht="12" customHeight="1">
      <c r="A11" t="s">
        <v>129</v>
      </c>
      <c r="B11" t="s">
        <v>130</v>
      </c>
      <c r="C11" t="s">
        <v>28</v>
      </c>
      <c r="D11" t="s">
        <v>202</v>
      </c>
      <c r="E11" t="s">
        <v>213</v>
      </c>
      <c r="F11" s="4" t="s">
        <v>220</v>
      </c>
      <c r="G11" t="s">
        <v>70</v>
      </c>
      <c r="H11" t="s">
        <v>131</v>
      </c>
      <c r="I11" s="1" t="s">
        <v>188</v>
      </c>
      <c r="J11" s="1" t="s">
        <v>188</v>
      </c>
      <c r="K11" t="s">
        <v>132</v>
      </c>
      <c r="L11" t="s">
        <v>133</v>
      </c>
      <c r="M11" t="s">
        <v>134</v>
      </c>
      <c r="N11" t="s">
        <v>33</v>
      </c>
      <c r="O11" t="s">
        <v>135</v>
      </c>
      <c r="P11" t="s">
        <v>66</v>
      </c>
      <c r="Q11" t="s">
        <v>189</v>
      </c>
      <c r="R11" t="s">
        <v>190</v>
      </c>
      <c r="S11" t="s">
        <v>191</v>
      </c>
      <c r="T11" t="s">
        <v>136</v>
      </c>
      <c r="U11" t="s">
        <v>38</v>
      </c>
      <c r="V11" t="s">
        <v>74</v>
      </c>
      <c r="W11" t="s">
        <v>137</v>
      </c>
      <c r="X11" t="s">
        <v>138</v>
      </c>
      <c r="Y11" t="s">
        <v>36</v>
      </c>
      <c r="Z11" t="s">
        <v>139</v>
      </c>
      <c r="AA11" t="s">
        <v>86</v>
      </c>
      <c r="AB11" t="s">
        <v>33</v>
      </c>
      <c r="AC11" t="s">
        <v>33</v>
      </c>
    </row>
    <row r="12" spans="1:29" ht="12" customHeight="1">
      <c r="A12" t="s">
        <v>140</v>
      </c>
      <c r="B12" t="s">
        <v>141</v>
      </c>
      <c r="C12" t="s">
        <v>28</v>
      </c>
      <c r="D12" t="s">
        <v>215</v>
      </c>
      <c r="E12" t="s">
        <v>207</v>
      </c>
      <c r="F12" s="4" t="s">
        <v>211</v>
      </c>
      <c r="G12" t="s">
        <v>48</v>
      </c>
      <c r="H12" t="s">
        <v>142</v>
      </c>
      <c r="I12" t="s">
        <v>143</v>
      </c>
      <c r="J12" t="s">
        <v>143</v>
      </c>
      <c r="K12" t="s">
        <v>91</v>
      </c>
      <c r="L12" t="s">
        <v>144</v>
      </c>
      <c r="M12" t="s">
        <v>33</v>
      </c>
      <c r="N12" t="s">
        <v>34</v>
      </c>
      <c r="O12" t="s">
        <v>35</v>
      </c>
      <c r="P12" t="s">
        <v>36</v>
      </c>
      <c r="Q12" t="s">
        <v>192</v>
      </c>
      <c r="R12" t="s">
        <v>193</v>
      </c>
      <c r="S12" t="s">
        <v>194</v>
      </c>
      <c r="T12" t="s">
        <v>145</v>
      </c>
      <c r="U12" t="s">
        <v>38</v>
      </c>
      <c r="V12" t="s">
        <v>39</v>
      </c>
      <c r="W12" t="s">
        <v>146</v>
      </c>
      <c r="X12" t="s">
        <v>147</v>
      </c>
      <c r="Y12" t="s">
        <v>148</v>
      </c>
      <c r="Z12" t="s">
        <v>149</v>
      </c>
      <c r="AA12" t="s">
        <v>43</v>
      </c>
      <c r="AB12" t="s">
        <v>33</v>
      </c>
      <c r="AC12" t="s">
        <v>33</v>
      </c>
    </row>
    <row r="13" spans="1:29" ht="12" customHeight="1">
      <c r="A13" t="s">
        <v>150</v>
      </c>
      <c r="B13" t="s">
        <v>151</v>
      </c>
      <c r="C13" t="s">
        <v>28</v>
      </c>
      <c r="D13" t="s">
        <v>202</v>
      </c>
      <c r="E13" t="s">
        <v>213</v>
      </c>
      <c r="F13" s="4" t="s">
        <v>221</v>
      </c>
      <c r="G13" t="s">
        <v>70</v>
      </c>
      <c r="H13" t="s">
        <v>152</v>
      </c>
      <c r="I13" t="s">
        <v>153</v>
      </c>
      <c r="J13" t="s">
        <v>153</v>
      </c>
      <c r="K13" t="s">
        <v>104</v>
      </c>
      <c r="L13" t="s">
        <v>62</v>
      </c>
      <c r="M13" t="s">
        <v>51</v>
      </c>
      <c r="N13" t="s">
        <v>33</v>
      </c>
      <c r="O13" t="s">
        <v>52</v>
      </c>
      <c r="P13" t="s">
        <v>36</v>
      </c>
      <c r="Q13" t="s">
        <v>195</v>
      </c>
      <c r="R13" t="s">
        <v>196</v>
      </c>
      <c r="S13" t="s">
        <v>197</v>
      </c>
      <c r="T13" t="s">
        <v>154</v>
      </c>
      <c r="U13" t="s">
        <v>38</v>
      </c>
      <c r="V13" t="s">
        <v>74</v>
      </c>
      <c r="W13" t="s">
        <v>155</v>
      </c>
      <c r="X13" t="s">
        <v>156</v>
      </c>
      <c r="Y13" t="s">
        <v>36</v>
      </c>
      <c r="Z13" t="s">
        <v>157</v>
      </c>
      <c r="AA13" t="s">
        <v>43</v>
      </c>
      <c r="AB13" t="s">
        <v>44</v>
      </c>
      <c r="AC13" t="s">
        <v>33</v>
      </c>
    </row>
    <row r="14" spans="1:29">
      <c r="A14" t="s">
        <v>232</v>
      </c>
      <c r="B14" t="s">
        <v>233</v>
      </c>
      <c r="C14" t="s">
        <v>28</v>
      </c>
      <c r="D14" t="s">
        <v>202</v>
      </c>
      <c r="E14" t="s">
        <v>245</v>
      </c>
      <c r="F14" s="4" t="s">
        <v>234</v>
      </c>
      <c r="G14" t="s">
        <v>70</v>
      </c>
      <c r="H14" t="s">
        <v>235</v>
      </c>
      <c r="I14" t="s">
        <v>236</v>
      </c>
      <c r="J14" t="s">
        <v>236</v>
      </c>
      <c r="K14" t="s">
        <v>122</v>
      </c>
      <c r="L14" t="s">
        <v>62</v>
      </c>
      <c r="M14" t="s">
        <v>33</v>
      </c>
      <c r="N14" t="s">
        <v>33</v>
      </c>
      <c r="O14" t="s">
        <v>52</v>
      </c>
      <c r="P14" t="s">
        <v>36</v>
      </c>
      <c r="Q14" t="s">
        <v>237</v>
      </c>
      <c r="R14" t="s">
        <v>238</v>
      </c>
      <c r="S14" t="s">
        <v>239</v>
      </c>
      <c r="T14" t="s">
        <v>240</v>
      </c>
      <c r="U14" t="s">
        <v>38</v>
      </c>
      <c r="V14" t="s">
        <v>39</v>
      </c>
      <c r="W14" t="s">
        <v>241</v>
      </c>
      <c r="X14" t="s">
        <v>242</v>
      </c>
      <c r="Y14" t="s">
        <v>36</v>
      </c>
      <c r="Z14" t="s">
        <v>243</v>
      </c>
      <c r="AA14" t="s">
        <v>43</v>
      </c>
      <c r="AB14" t="s">
        <v>33</v>
      </c>
      <c r="AC14" t="s">
        <v>33</v>
      </c>
    </row>
    <row r="15" spans="1:29">
      <c r="A15" t="s">
        <v>231</v>
      </c>
      <c r="B15" t="s">
        <v>246</v>
      </c>
      <c r="C15" t="s">
        <v>47</v>
      </c>
      <c r="D15" t="s">
        <v>202</v>
      </c>
      <c r="E15" t="s">
        <v>245</v>
      </c>
      <c r="F15" s="4" t="s">
        <v>256</v>
      </c>
      <c r="G15" t="s">
        <v>70</v>
      </c>
      <c r="H15" t="s">
        <v>247</v>
      </c>
      <c r="I15" t="s">
        <v>248</v>
      </c>
      <c r="J15" t="s">
        <v>248</v>
      </c>
      <c r="K15" t="s">
        <v>249</v>
      </c>
      <c r="L15" t="s">
        <v>62</v>
      </c>
      <c r="M15" t="s">
        <v>51</v>
      </c>
      <c r="N15" t="s">
        <v>33</v>
      </c>
      <c r="O15" t="s">
        <v>52</v>
      </c>
      <c r="P15" t="s">
        <v>36</v>
      </c>
      <c r="Q15" t="s">
        <v>250</v>
      </c>
      <c r="R15" t="s">
        <v>33</v>
      </c>
      <c r="S15" t="s">
        <v>251</v>
      </c>
      <c r="T15" t="s">
        <v>252</v>
      </c>
      <c r="U15" t="s">
        <v>38</v>
      </c>
      <c r="V15" t="s">
        <v>74</v>
      </c>
      <c r="W15" t="s">
        <v>253</v>
      </c>
      <c r="X15" t="s">
        <v>254</v>
      </c>
      <c r="Y15" t="s">
        <v>36</v>
      </c>
      <c r="Z15" t="s">
        <v>255</v>
      </c>
      <c r="AA15" t="s">
        <v>43</v>
      </c>
      <c r="AB15" t="s">
        <v>44</v>
      </c>
      <c r="AC15" t="s">
        <v>33</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看板</vt:lpstr>
      <vt:lpstr>数据源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1220008931@student.must.edu.mo</cp:lastModifiedBy>
  <dcterms:created xsi:type="dcterms:W3CDTF">2025-07-14T03:14:44Z</dcterms:created>
  <dcterms:modified xsi:type="dcterms:W3CDTF">2025-08-24T10:17:33Z</dcterms:modified>
</cp:coreProperties>
</file>